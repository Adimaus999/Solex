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mahf202_exeter_ac_uk/Documents/4th Year Design Project/Code/Solex/Max/Arduino/Arduino Board Testing/High Res Testing and Tuneing/"/>
    </mc:Choice>
  </mc:AlternateContent>
  <xr:revisionPtr revIDLastSave="308" documentId="8_{01A00817-EADD-4DE4-AA49-850561A66BA9}" xr6:coauthVersionLast="47" xr6:coauthVersionMax="47" xr10:uidLastSave="{34222533-3FCE-4518-B97A-4B54A7539142}"/>
  <bookViews>
    <workbookView xWindow="-98" yWindow="-98" windowWidth="21795" windowHeight="12975" activeTab="1" xr2:uid="{5D5FDD7C-948B-43F0-8236-2633AF66ED44}"/>
  </bookViews>
  <sheets>
    <sheet name="Battery Voltage" sheetId="1" r:id="rId1"/>
    <sheet name="Motor Current" sheetId="2" r:id="rId2"/>
    <sheet name="Solar Current" sheetId="3" r:id="rId3"/>
    <sheet name="Auxiliary" sheetId="4" r:id="rId4"/>
  </sheets>
  <definedNames>
    <definedName name="_xlchart.v1.0" hidden="1">'Battery Voltage'!$A$2:$A$34</definedName>
    <definedName name="_xlchart.v1.1" hidden="1">'Battery Voltage'!$B$2:$B$34</definedName>
    <definedName name="_xlchart.v1.2" hidden="1">'Battery Voltage'!$C$2:$C$34</definedName>
    <definedName name="_xlchart.v1.3" hidden="1">'Battery Voltage'!$A$2:$A$34</definedName>
    <definedName name="_xlchart.v1.4" hidden="1">'Battery Voltage'!$B$2:$B$34</definedName>
    <definedName name="_xlchart.v1.5" hidden="1">'Battery Voltage'!$C$2:$C$34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D3" i="2" s="1"/>
  <c r="E3" i="2" s="1"/>
  <c r="B4" i="2"/>
  <c r="B5" i="2"/>
  <c r="B6" i="2"/>
  <c r="B2" i="2"/>
  <c r="G2" i="2" s="1"/>
  <c r="H2" i="2" s="1"/>
  <c r="D5" i="2"/>
  <c r="E5" i="2" s="1"/>
  <c r="D6" i="2"/>
  <c r="E6" i="2" s="1"/>
  <c r="B3" i="4"/>
  <c r="B4" i="4"/>
  <c r="B5" i="4"/>
  <c r="B6" i="4"/>
  <c r="B2" i="4"/>
  <c r="G2" i="4" s="1"/>
  <c r="B6" i="3"/>
  <c r="G6" i="3" s="1"/>
  <c r="H6" i="3" s="1"/>
  <c r="B5" i="3"/>
  <c r="G5" i="3" s="1"/>
  <c r="H5" i="3" s="1"/>
  <c r="B4" i="3"/>
  <c r="G4" i="3" s="1"/>
  <c r="H4" i="3" s="1"/>
  <c r="B3" i="3"/>
  <c r="G3" i="3" s="1"/>
  <c r="H3" i="3" s="1"/>
  <c r="B2" i="3"/>
  <c r="G2" i="3" s="1"/>
  <c r="H2" i="3" s="1"/>
  <c r="G3" i="4"/>
  <c r="H3" i="4" s="1"/>
  <c r="G4" i="4"/>
  <c r="H4" i="4" s="1"/>
  <c r="G6" i="4"/>
  <c r="H6" i="4" s="1"/>
  <c r="G5" i="4"/>
  <c r="H5" i="4" s="1"/>
  <c r="E4" i="1"/>
  <c r="E5" i="1"/>
  <c r="E6" i="1"/>
  <c r="E7" i="1"/>
  <c r="E8" i="1"/>
  <c r="E3" i="1"/>
  <c r="D2" i="2"/>
  <c r="D4" i="2"/>
  <c r="E4" i="2" s="1"/>
  <c r="C3" i="1"/>
  <c r="C4" i="1"/>
  <c r="C5" i="1"/>
  <c r="C6" i="1"/>
  <c r="C7" i="1"/>
  <c r="C8" i="1"/>
  <c r="C2" i="1"/>
  <c r="G8" i="4" l="1"/>
  <c r="H2" i="4"/>
  <c r="H8" i="4" s="1"/>
  <c r="D2" i="4"/>
  <c r="D6" i="4"/>
  <c r="E6" i="4" s="1"/>
  <c r="D3" i="4"/>
  <c r="E3" i="4" s="1"/>
  <c r="D4" i="4"/>
  <c r="E4" i="4" s="1"/>
  <c r="D5" i="4"/>
  <c r="E5" i="4" s="1"/>
  <c r="D8" i="2"/>
  <c r="E2" i="2"/>
  <c r="E8" i="2" s="1"/>
  <c r="D4" i="3"/>
  <c r="E4" i="3" s="1"/>
  <c r="D5" i="3"/>
  <c r="E5" i="3" s="1"/>
  <c r="D2" i="3"/>
  <c r="E2" i="3" s="1"/>
  <c r="D6" i="3"/>
  <c r="E6" i="3" s="1"/>
  <c r="G8" i="3"/>
  <c r="H8" i="3"/>
  <c r="D3" i="3"/>
  <c r="E3" i="3" s="1"/>
  <c r="G5" i="2"/>
  <c r="H5" i="2" s="1"/>
  <c r="G4" i="2"/>
  <c r="H4" i="2" s="1"/>
  <c r="G6" i="2"/>
  <c r="H6" i="2" s="1"/>
  <c r="G3" i="2"/>
  <c r="H3" i="2" s="1"/>
  <c r="D8" i="4" l="1"/>
  <c r="E2" i="4"/>
  <c r="E8" i="4" s="1"/>
  <c r="G8" i="2"/>
  <c r="H8" i="2"/>
  <c r="E8" i="3"/>
  <c r="D8" i="3"/>
</calcChain>
</file>

<file path=xl/sharedStrings.xml><?xml version="1.0" encoding="utf-8"?>
<sst xmlns="http://schemas.openxmlformats.org/spreadsheetml/2006/main" count="32" uniqueCount="9">
  <si>
    <t>Input</t>
  </si>
  <si>
    <t>Theoretical Real Value</t>
  </si>
  <si>
    <t>Actual</t>
  </si>
  <si>
    <t>Error</t>
  </si>
  <si>
    <t>Improved</t>
  </si>
  <si>
    <t>Mean Error</t>
  </si>
  <si>
    <t>% Error</t>
  </si>
  <si>
    <t>Theoretical</t>
  </si>
  <si>
    <t>Measurement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</si>
</sst>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0" fontId="0" fillId="0" borderId="0" xfId="1" applyNumberFormat="1" applyFont="1"/>
    <xf numFmtId="10" fontId="0" fillId="0" borderId="0" xfId="0" applyNumberForma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5906671761299304E-2"/>
          <c:y val="1.1819199374838822E-2"/>
          <c:w val="0.93733601859457616"/>
          <c:h val="0.9526588157790844"/>
        </c:manualLayout>
      </c:layout>
      <c:scatterChart>
        <c:scatterStyle val="smoothMarker"/>
        <c:varyColors val="0"/>
        <c:ser>
          <c:idx val="0"/>
          <c:order val="0"/>
          <c:tx>
            <c:v>Data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'Battery Voltage'!$A$2:$A$34</c:f>
              <c:numCache>
                <c:formatCode>General</c:formatCode>
                <c:ptCount val="33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xVal>
          <c:yVal>
            <c:numRef>
              <c:f>'Battery Voltage'!$B$2:$B$34</c:f>
              <c:numCache>
                <c:formatCode>General</c:formatCode>
                <c:ptCount val="33"/>
                <c:pt idx="0">
                  <c:v>0</c:v>
                </c:pt>
                <c:pt idx="1">
                  <c:v>4.88</c:v>
                </c:pt>
                <c:pt idx="2">
                  <c:v>9.84</c:v>
                </c:pt>
                <c:pt idx="3">
                  <c:v>14.84</c:v>
                </c:pt>
                <c:pt idx="4">
                  <c:v>19.8</c:v>
                </c:pt>
                <c:pt idx="5">
                  <c:v>24.8</c:v>
                </c:pt>
                <c:pt idx="6">
                  <c:v>29.75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0-88EB-4663-B371-DFD098167B40}"/>
            </c:ext>
          </c:extLst>
        </c:ser>
        <c:ser>
          <c:idx val="1"/>
          <c:order val="1"/>
          <c:tx>
            <c:v>Error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3.5139343855858929E-2"/>
                  <c:y val="-9.164619101536122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'Battery Voltage'!$A$2:$A$34</c:f>
              <c:numCache>
                <c:formatCode>General</c:formatCode>
                <c:ptCount val="33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xVal>
          <c:yVal>
            <c:numRef>
              <c:f>'Battery Voltage'!$C$2:$C$34</c:f>
              <c:numCache>
                <c:formatCode>General</c:formatCode>
                <c:ptCount val="33"/>
                <c:pt idx="0">
                  <c:v>0</c:v>
                </c:pt>
                <c:pt idx="1">
                  <c:v>0.12000000000000011</c:v>
                </c:pt>
                <c:pt idx="2">
                  <c:v>0.16000000000000014</c:v>
                </c:pt>
                <c:pt idx="3">
                  <c:v>0.16000000000000014</c:v>
                </c:pt>
                <c:pt idx="4">
                  <c:v>0.19999999999999929</c:v>
                </c:pt>
                <c:pt idx="5">
                  <c:v>0.19999999999999929</c:v>
                </c:pt>
                <c:pt idx="6">
                  <c:v>0.25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1-88EB-4663-B371-DFD098167B40}"/>
            </c:ext>
          </c:extLst>
        </c:ser>
        <c:ser>
          <c:idx val="2"/>
          <c:order val="2"/>
          <c:tx>
            <c:v>Actual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'Battery Voltage'!$A$2:$A$34</c:f>
              <c:numCache>
                <c:formatCode>General</c:formatCode>
                <c:ptCount val="33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xVal>
          <c:yVal>
            <c:numRef>
              <c:f>'Battery Voltage'!$B$2:$B$34</c:f>
              <c:numCache>
                <c:formatCode>General</c:formatCode>
                <c:ptCount val="33"/>
                <c:pt idx="0">
                  <c:v>0</c:v>
                </c:pt>
                <c:pt idx="1">
                  <c:v>4.88</c:v>
                </c:pt>
                <c:pt idx="2">
                  <c:v>9.84</c:v>
                </c:pt>
                <c:pt idx="3">
                  <c:v>14.84</c:v>
                </c:pt>
                <c:pt idx="4">
                  <c:v>19.8</c:v>
                </c:pt>
                <c:pt idx="5">
                  <c:v>24.8</c:v>
                </c:pt>
                <c:pt idx="6">
                  <c:v>29.75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2-88EB-4663-B371-DFD098167B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4095535"/>
        <c:axId val="544094575"/>
      </c:scatterChart>
      <c:valAx>
        <c:axId val="544095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094575"/>
        <c:crosses val="autoZero"/>
        <c:crossBetween val="midCat"/>
      </c:valAx>
      <c:valAx>
        <c:axId val="544094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0955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5607176589327341E-2"/>
          <c:y val="4.9544625883214635E-2"/>
          <c:w val="0.94359625919997225"/>
          <c:h val="0.89435144938755573"/>
        </c:manualLayout>
      </c:layout>
      <c:scatterChart>
        <c:scatterStyle val="lineMarker"/>
        <c:varyColors val="0"/>
        <c:ser>
          <c:idx val="0"/>
          <c:order val="0"/>
          <c:tx>
            <c:v>Theoretical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'Motor Current'!$B$2:$B$6</c:f>
              <c:numCache>
                <c:formatCode>General</c:formatCode>
                <c:ptCount val="5"/>
                <c:pt idx="0">
                  <c:v>8</c:v>
                </c:pt>
                <c:pt idx="1">
                  <c:v>12</c:v>
                </c:pt>
                <c:pt idx="2">
                  <c:v>16</c:v>
                </c:pt>
                <c:pt idx="3">
                  <c:v>20</c:v>
                </c:pt>
                <c:pt idx="4">
                  <c:v>24</c:v>
                </c:pt>
              </c:numCache>
            </c:numRef>
          </c:xVal>
          <c:yVal>
            <c:numRef>
              <c:f>'Motor Current'!$B$2:$B$6</c:f>
              <c:numCache>
                <c:formatCode>General</c:formatCode>
                <c:ptCount val="5"/>
                <c:pt idx="0">
                  <c:v>8</c:v>
                </c:pt>
                <c:pt idx="1">
                  <c:v>12</c:v>
                </c:pt>
                <c:pt idx="2">
                  <c:v>16</c:v>
                </c:pt>
                <c:pt idx="3">
                  <c:v>20</c:v>
                </c:pt>
                <c:pt idx="4">
                  <c:v>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292-458D-A14F-480DE0F77820}"/>
            </c:ext>
          </c:extLst>
        </c:ser>
        <c:ser>
          <c:idx val="1"/>
          <c:order val="1"/>
          <c:tx>
            <c:v>Actual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'Motor Current'!$B$2:$B$6</c:f>
              <c:numCache>
                <c:formatCode>General</c:formatCode>
                <c:ptCount val="5"/>
                <c:pt idx="0">
                  <c:v>8</c:v>
                </c:pt>
                <c:pt idx="1">
                  <c:v>12</c:v>
                </c:pt>
                <c:pt idx="2">
                  <c:v>16</c:v>
                </c:pt>
                <c:pt idx="3">
                  <c:v>20</c:v>
                </c:pt>
                <c:pt idx="4">
                  <c:v>24</c:v>
                </c:pt>
              </c:numCache>
            </c:numRef>
          </c:xVal>
          <c:yVal>
            <c:numRef>
              <c:f>'Motor Current'!$C$2:$C$6</c:f>
              <c:numCache>
                <c:formatCode>General</c:formatCode>
                <c:ptCount val="5"/>
                <c:pt idx="0">
                  <c:v>8.26</c:v>
                </c:pt>
                <c:pt idx="1">
                  <c:v>12.1</c:v>
                </c:pt>
                <c:pt idx="2">
                  <c:v>16.02</c:v>
                </c:pt>
                <c:pt idx="3">
                  <c:v>19.93</c:v>
                </c:pt>
                <c:pt idx="4">
                  <c:v>23.92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292-458D-A14F-480DE0F77820}"/>
            </c:ext>
          </c:extLst>
        </c:ser>
        <c:ser>
          <c:idx val="2"/>
          <c:order val="2"/>
          <c:tx>
            <c:v>Error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7.0745139215512939E-2"/>
                  <c:y val="-0.1206411640256276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'Motor Current'!$B$2:$B$6</c:f>
              <c:numCache>
                <c:formatCode>General</c:formatCode>
                <c:ptCount val="5"/>
                <c:pt idx="0">
                  <c:v>8</c:v>
                </c:pt>
                <c:pt idx="1">
                  <c:v>12</c:v>
                </c:pt>
                <c:pt idx="2">
                  <c:v>16</c:v>
                </c:pt>
                <c:pt idx="3">
                  <c:v>20</c:v>
                </c:pt>
                <c:pt idx="4">
                  <c:v>24</c:v>
                </c:pt>
              </c:numCache>
            </c:numRef>
          </c:xVal>
          <c:yVal>
            <c:numRef>
              <c:f>'Motor Current'!$D$2:$D$6</c:f>
              <c:numCache>
                <c:formatCode>General</c:formatCode>
                <c:ptCount val="5"/>
                <c:pt idx="0">
                  <c:v>-0.25999999999999979</c:v>
                </c:pt>
                <c:pt idx="1">
                  <c:v>-9.9999999999999645E-2</c:v>
                </c:pt>
                <c:pt idx="2">
                  <c:v>-1.9999999999999574E-2</c:v>
                </c:pt>
                <c:pt idx="3">
                  <c:v>7.0000000000000284E-2</c:v>
                </c:pt>
                <c:pt idx="4">
                  <c:v>7.9999999999998295E-2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292-458D-A14F-480DE0F77820}"/>
            </c:ext>
          </c:extLst>
        </c:ser>
        <c:ser>
          <c:idx val="3"/>
          <c:order val="3"/>
          <c:tx>
            <c:v>Second Pass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'Motor Current'!$B$2:$B$6</c:f>
              <c:numCache>
                <c:formatCode>General</c:formatCode>
                <c:ptCount val="5"/>
                <c:pt idx="0">
                  <c:v>8</c:v>
                </c:pt>
                <c:pt idx="1">
                  <c:v>12</c:v>
                </c:pt>
                <c:pt idx="2">
                  <c:v>16</c:v>
                </c:pt>
                <c:pt idx="3">
                  <c:v>20</c:v>
                </c:pt>
                <c:pt idx="4">
                  <c:v>24</c:v>
                </c:pt>
              </c:numCache>
            </c:numRef>
          </c:xVal>
          <c:yVal>
            <c:numRef>
              <c:f>'Motor Current'!$F$2:$F$6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292-458D-A14F-480DE0F77820}"/>
            </c:ext>
          </c:extLst>
        </c:ser>
        <c:ser>
          <c:idx val="4"/>
          <c:order val="4"/>
          <c:tx>
            <c:v>Second Pass Error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5.7805196825225801E-2"/>
                  <c:y val="-0.185290317609822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'Motor Current'!$B$2:$B$6</c:f>
              <c:numCache>
                <c:formatCode>General</c:formatCode>
                <c:ptCount val="5"/>
                <c:pt idx="0">
                  <c:v>8</c:v>
                </c:pt>
                <c:pt idx="1">
                  <c:v>12</c:v>
                </c:pt>
                <c:pt idx="2">
                  <c:v>16</c:v>
                </c:pt>
                <c:pt idx="3">
                  <c:v>20</c:v>
                </c:pt>
                <c:pt idx="4">
                  <c:v>24</c:v>
                </c:pt>
              </c:numCache>
            </c:numRef>
          </c:xVal>
          <c:yVal>
            <c:numRef>
              <c:f>'Motor Current'!$G$2:$G$7</c:f>
              <c:numCache>
                <c:formatCode>General</c:formatCode>
                <c:ptCount val="6"/>
                <c:pt idx="0">
                  <c:v>-8</c:v>
                </c:pt>
                <c:pt idx="1">
                  <c:v>-12</c:v>
                </c:pt>
                <c:pt idx="2">
                  <c:v>-16</c:v>
                </c:pt>
                <c:pt idx="3">
                  <c:v>-20</c:v>
                </c:pt>
                <c:pt idx="4">
                  <c:v>-24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292-458D-A14F-480DE0F778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9911584"/>
        <c:axId val="589917824"/>
      </c:scatterChart>
      <c:valAx>
        <c:axId val="589911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917824"/>
        <c:crosses val="autoZero"/>
        <c:crossBetween val="midCat"/>
      </c:valAx>
      <c:valAx>
        <c:axId val="589917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911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5607176589327341E-2"/>
          <c:y val="4.9544625883214635E-2"/>
          <c:w val="0.94359625919997225"/>
          <c:h val="0.89435144938755573"/>
        </c:manualLayout>
      </c:layout>
      <c:scatterChart>
        <c:scatterStyle val="lineMarker"/>
        <c:varyColors val="0"/>
        <c:ser>
          <c:idx val="0"/>
          <c:order val="0"/>
          <c:tx>
            <c:strRef>
              <c:f>'Solar Current'!$B$1</c:f>
              <c:strCache>
                <c:ptCount val="1"/>
                <c:pt idx="0">
                  <c:v>Theoretical Real Value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'Solar Current'!$B$2:$B$6</c:f>
              <c:numCache>
                <c:formatCode>General</c:formatCode>
                <c:ptCount val="5"/>
                <c:pt idx="0">
                  <c:v>9</c:v>
                </c:pt>
                <c:pt idx="1">
                  <c:v>13.5</c:v>
                </c:pt>
                <c:pt idx="2">
                  <c:v>18</c:v>
                </c:pt>
                <c:pt idx="3">
                  <c:v>22.5</c:v>
                </c:pt>
                <c:pt idx="4">
                  <c:v>27</c:v>
                </c:pt>
              </c:numCache>
            </c:numRef>
          </c:xVal>
          <c:yVal>
            <c:numRef>
              <c:f>'Solar Current'!$B$2:$B$6</c:f>
              <c:numCache>
                <c:formatCode>General</c:formatCode>
                <c:ptCount val="5"/>
                <c:pt idx="0">
                  <c:v>9</c:v>
                </c:pt>
                <c:pt idx="1">
                  <c:v>13.5</c:v>
                </c:pt>
                <c:pt idx="2">
                  <c:v>18</c:v>
                </c:pt>
                <c:pt idx="3">
                  <c:v>22.5</c:v>
                </c:pt>
                <c:pt idx="4">
                  <c:v>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4091-42E4-80FB-05DAE7E2C3A0}"/>
            </c:ext>
          </c:extLst>
        </c:ser>
        <c:ser>
          <c:idx val="1"/>
          <c:order val="1"/>
          <c:tx>
            <c:strRef>
              <c:f>'Solar Current'!$C$1</c:f>
              <c:strCache>
                <c:ptCount val="1"/>
                <c:pt idx="0">
                  <c:v>Actual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'Solar Current'!$B$2:$B$6</c:f>
              <c:numCache>
                <c:formatCode>General</c:formatCode>
                <c:ptCount val="5"/>
                <c:pt idx="0">
                  <c:v>9</c:v>
                </c:pt>
                <c:pt idx="1">
                  <c:v>13.5</c:v>
                </c:pt>
                <c:pt idx="2">
                  <c:v>18</c:v>
                </c:pt>
                <c:pt idx="3">
                  <c:v>22.5</c:v>
                </c:pt>
                <c:pt idx="4">
                  <c:v>27</c:v>
                </c:pt>
              </c:numCache>
            </c:numRef>
          </c:xVal>
          <c:yVal>
            <c:numRef>
              <c:f>'Solar Current'!$C$2:$C$6</c:f>
              <c:numCache>
                <c:formatCode>General</c:formatCode>
                <c:ptCount val="5"/>
                <c:pt idx="0">
                  <c:v>9.0399999999999991</c:v>
                </c:pt>
                <c:pt idx="1">
                  <c:v>13.52</c:v>
                </c:pt>
                <c:pt idx="2">
                  <c:v>17.79</c:v>
                </c:pt>
                <c:pt idx="3">
                  <c:v>22.21</c:v>
                </c:pt>
                <c:pt idx="4">
                  <c:v>26.76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4091-42E4-80FB-05DAE7E2C3A0}"/>
            </c:ext>
          </c:extLst>
        </c:ser>
        <c:ser>
          <c:idx val="2"/>
          <c:order val="2"/>
          <c:tx>
            <c:strRef>
              <c:f>'Solar Current'!$D$1</c:f>
              <c:strCache>
                <c:ptCount val="1"/>
                <c:pt idx="0">
                  <c:v>Error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3.342581498282108E-2"/>
                  <c:y val="-6.653942437404071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'Solar Current'!$B$2:$B$6</c:f>
              <c:numCache>
                <c:formatCode>General</c:formatCode>
                <c:ptCount val="5"/>
                <c:pt idx="0">
                  <c:v>9</c:v>
                </c:pt>
                <c:pt idx="1">
                  <c:v>13.5</c:v>
                </c:pt>
                <c:pt idx="2">
                  <c:v>18</c:v>
                </c:pt>
                <c:pt idx="3">
                  <c:v>22.5</c:v>
                </c:pt>
                <c:pt idx="4">
                  <c:v>27</c:v>
                </c:pt>
              </c:numCache>
            </c:numRef>
          </c:xVal>
          <c:yVal>
            <c:numRef>
              <c:f>'Solar Current'!$D$2:$D$6</c:f>
              <c:numCache>
                <c:formatCode>General</c:formatCode>
                <c:ptCount val="5"/>
                <c:pt idx="0">
                  <c:v>-3.9999999999999147E-2</c:v>
                </c:pt>
                <c:pt idx="1">
                  <c:v>-1.9999999999999574E-2</c:v>
                </c:pt>
                <c:pt idx="2">
                  <c:v>0.21000000000000085</c:v>
                </c:pt>
                <c:pt idx="3">
                  <c:v>0.28999999999999915</c:v>
                </c:pt>
                <c:pt idx="4">
                  <c:v>0.23999999999999844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4091-42E4-80FB-05DAE7E2C3A0}"/>
            </c:ext>
          </c:extLst>
        </c:ser>
        <c:ser>
          <c:idx val="3"/>
          <c:order val="3"/>
          <c:tx>
            <c:strRef>
              <c:f>'Solar Current'!$F$1</c:f>
              <c:strCache>
                <c:ptCount val="1"/>
                <c:pt idx="0">
                  <c:v>Improved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'Solar Current'!$B$2:$B$6</c:f>
              <c:numCache>
                <c:formatCode>General</c:formatCode>
                <c:ptCount val="5"/>
                <c:pt idx="0">
                  <c:v>9</c:v>
                </c:pt>
                <c:pt idx="1">
                  <c:v>13.5</c:v>
                </c:pt>
                <c:pt idx="2">
                  <c:v>18</c:v>
                </c:pt>
                <c:pt idx="3">
                  <c:v>22.5</c:v>
                </c:pt>
                <c:pt idx="4">
                  <c:v>27</c:v>
                </c:pt>
              </c:numCache>
            </c:numRef>
          </c:xVal>
          <c:yVal>
            <c:numRef>
              <c:f>'Solar Current'!$F$2:$F$6</c:f>
              <c:numCache>
                <c:formatCode>General</c:formatCode>
                <c:ptCount val="5"/>
                <c:pt idx="0">
                  <c:v>9.07</c:v>
                </c:pt>
                <c:pt idx="1">
                  <c:v>13.57</c:v>
                </c:pt>
                <c:pt idx="2">
                  <c:v>18.07</c:v>
                </c:pt>
                <c:pt idx="3">
                  <c:v>22.35</c:v>
                </c:pt>
                <c:pt idx="4">
                  <c:v>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4091-42E4-80FB-05DAE7E2C3A0}"/>
            </c:ext>
          </c:extLst>
        </c:ser>
        <c:ser>
          <c:idx val="4"/>
          <c:order val="4"/>
          <c:tx>
            <c:strRef>
              <c:f>'Solar Current'!$G$1</c:f>
              <c:strCache>
                <c:ptCount val="1"/>
                <c:pt idx="0">
                  <c:v>Error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'Solar Current'!$B$2:$B$6</c:f>
              <c:numCache>
                <c:formatCode>General</c:formatCode>
                <c:ptCount val="5"/>
                <c:pt idx="0">
                  <c:v>9</c:v>
                </c:pt>
                <c:pt idx="1">
                  <c:v>13.5</c:v>
                </c:pt>
                <c:pt idx="2">
                  <c:v>18</c:v>
                </c:pt>
                <c:pt idx="3">
                  <c:v>22.5</c:v>
                </c:pt>
                <c:pt idx="4">
                  <c:v>27</c:v>
                </c:pt>
              </c:numCache>
            </c:numRef>
          </c:xVal>
          <c:yVal>
            <c:numRef>
              <c:f>'Solar Current'!$G$2:$G$6</c:f>
              <c:numCache>
                <c:formatCode>General</c:formatCode>
                <c:ptCount val="5"/>
                <c:pt idx="0">
                  <c:v>7.0000000000000284E-2</c:v>
                </c:pt>
                <c:pt idx="1">
                  <c:v>7.0000000000000284E-2</c:v>
                </c:pt>
                <c:pt idx="2">
                  <c:v>7.0000000000000284E-2</c:v>
                </c:pt>
                <c:pt idx="3">
                  <c:v>-0.14999999999999858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4091-42E4-80FB-05DAE7E2C3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9911584"/>
        <c:axId val="589917824"/>
      </c:scatterChart>
      <c:valAx>
        <c:axId val="589911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917824"/>
        <c:crosses val="autoZero"/>
        <c:crossBetween val="midCat"/>
      </c:valAx>
      <c:valAx>
        <c:axId val="589917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911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5607176589327341E-2"/>
          <c:y val="4.9544625883214635E-2"/>
          <c:w val="0.94359625919997225"/>
          <c:h val="0.89435144938755573"/>
        </c:manualLayout>
      </c:layout>
      <c:scatterChart>
        <c:scatterStyle val="lineMarker"/>
        <c:varyColors val="0"/>
        <c:ser>
          <c:idx val="0"/>
          <c:order val="0"/>
          <c:tx>
            <c:strRef>
              <c:f>Auxiliary!$B$1</c:f>
              <c:strCache>
                <c:ptCount val="1"/>
                <c:pt idx="0">
                  <c:v>Theoretical Real Value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Auxiliary!$B$2:$B$6</c:f>
              <c:numCache>
                <c:formatCode>General</c:formatCode>
                <c:ptCount val="5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</c:numCache>
            </c:numRef>
          </c:xVal>
          <c:yVal>
            <c:numRef>
              <c:f>Auxiliary!$B$2:$B$6</c:f>
              <c:numCache>
                <c:formatCode>General</c:formatCode>
                <c:ptCount val="5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10F-422E-B01F-15904F91B740}"/>
            </c:ext>
          </c:extLst>
        </c:ser>
        <c:ser>
          <c:idx val="1"/>
          <c:order val="1"/>
          <c:tx>
            <c:strRef>
              <c:f>Auxiliary!$C$1</c:f>
              <c:strCache>
                <c:ptCount val="1"/>
                <c:pt idx="0">
                  <c:v>Actual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Auxiliary!$B$2:$B$6</c:f>
              <c:numCache>
                <c:formatCode>General</c:formatCode>
                <c:ptCount val="5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</c:numCache>
            </c:numRef>
          </c:xVal>
          <c:yVal>
            <c:numRef>
              <c:f>Auxiliary!$C$2:$C$6</c:f>
              <c:numCache>
                <c:formatCode>General</c:formatCode>
                <c:ptCount val="5"/>
                <c:pt idx="0">
                  <c:v>10.46</c:v>
                </c:pt>
                <c:pt idx="1">
                  <c:v>15.37</c:v>
                </c:pt>
                <c:pt idx="2">
                  <c:v>20.36</c:v>
                </c:pt>
                <c:pt idx="3">
                  <c:v>25.41</c:v>
                </c:pt>
                <c:pt idx="4">
                  <c:v>30.25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10F-422E-B01F-15904F91B740}"/>
            </c:ext>
          </c:extLst>
        </c:ser>
        <c:ser>
          <c:idx val="2"/>
          <c:order val="2"/>
          <c:tx>
            <c:strRef>
              <c:f>Auxiliary!$D$1</c:f>
              <c:strCache>
                <c:ptCount val="1"/>
                <c:pt idx="0">
                  <c:v>Error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4.2398965929477256E-2"/>
                  <c:y val="-0.1380333964073824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Auxiliary!$B$2:$B$6</c:f>
              <c:numCache>
                <c:formatCode>General</c:formatCode>
                <c:ptCount val="5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</c:numCache>
            </c:numRef>
          </c:xVal>
          <c:yVal>
            <c:numRef>
              <c:f>Auxiliary!$D$2:$D$6</c:f>
              <c:numCache>
                <c:formatCode>General</c:formatCode>
                <c:ptCount val="5"/>
                <c:pt idx="0">
                  <c:v>-0.46000000000000085</c:v>
                </c:pt>
                <c:pt idx="1">
                  <c:v>-0.36999999999999922</c:v>
                </c:pt>
                <c:pt idx="2">
                  <c:v>-0.35999999999999943</c:v>
                </c:pt>
                <c:pt idx="3">
                  <c:v>-0.41000000000000014</c:v>
                </c:pt>
                <c:pt idx="4">
                  <c:v>-0.25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10F-422E-B01F-15904F91B740}"/>
            </c:ext>
          </c:extLst>
        </c:ser>
        <c:ser>
          <c:idx val="3"/>
          <c:order val="3"/>
          <c:tx>
            <c:strRef>
              <c:f>Auxiliary!$F$1</c:f>
              <c:strCache>
                <c:ptCount val="1"/>
                <c:pt idx="0">
                  <c:v>Improved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Auxiliary!$B$2:$B$6</c:f>
              <c:numCache>
                <c:formatCode>General</c:formatCode>
                <c:ptCount val="5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</c:numCache>
            </c:numRef>
          </c:xVal>
          <c:yVal>
            <c:numRef>
              <c:f>Auxiliary!$F$2:$F$6</c:f>
              <c:numCache>
                <c:formatCode>General</c:formatCode>
                <c:ptCount val="5"/>
                <c:pt idx="0">
                  <c:v>9.9600000000000009</c:v>
                </c:pt>
                <c:pt idx="1">
                  <c:v>15.02</c:v>
                </c:pt>
                <c:pt idx="2">
                  <c:v>19.97</c:v>
                </c:pt>
                <c:pt idx="3">
                  <c:v>25.03</c:v>
                </c:pt>
                <c:pt idx="4">
                  <c:v>30.04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10F-422E-B01F-15904F91B740}"/>
            </c:ext>
          </c:extLst>
        </c:ser>
        <c:ser>
          <c:idx val="4"/>
          <c:order val="4"/>
          <c:tx>
            <c:strRef>
              <c:f>Auxiliary!$G$1</c:f>
              <c:strCache>
                <c:ptCount val="1"/>
                <c:pt idx="0">
                  <c:v>Error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Auxiliary!$B$2:$B$6</c:f>
              <c:numCache>
                <c:formatCode>General</c:formatCode>
                <c:ptCount val="5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</c:numCache>
            </c:numRef>
          </c:xVal>
          <c:yVal>
            <c:numRef>
              <c:f>Auxiliary!$G$2:$G$6</c:f>
              <c:numCache>
                <c:formatCode>General</c:formatCode>
                <c:ptCount val="5"/>
                <c:pt idx="0">
                  <c:v>-3.9999999999999147E-2</c:v>
                </c:pt>
                <c:pt idx="1">
                  <c:v>1.9999999999999574E-2</c:v>
                </c:pt>
                <c:pt idx="2">
                  <c:v>-3.0000000000001137E-2</c:v>
                </c:pt>
                <c:pt idx="3">
                  <c:v>3.0000000000001137E-2</c:v>
                </c:pt>
                <c:pt idx="4">
                  <c:v>3.9999999999999147E-2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10F-422E-B01F-15904F91B7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9911584"/>
        <c:axId val="589917824"/>
      </c:scatterChart>
      <c:valAx>
        <c:axId val="589911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917824"/>
        <c:crosses val="autoZero"/>
        <c:crossBetween val="midCat"/>
      </c:valAx>
      <c:valAx>
        <c:axId val="589917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911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23205</xdr:colOff>
      <xdr:row>2</xdr:row>
      <xdr:rowOff>49068</xdr:rowOff>
    </xdr:from>
    <xdr:to>
      <xdr:col>20</xdr:col>
      <xdr:colOff>233217</xdr:colOff>
      <xdr:row>34</xdr:row>
      <xdr:rowOff>178178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870CCA-050F-6961-856E-1604B7FEAC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491260</xdr:colOff>
      <xdr:row>2</xdr:row>
      <xdr:rowOff>0</xdr:rowOff>
    </xdr:from>
    <xdr:to>
      <xdr:col>25</xdr:col>
      <xdr:colOff>361991</xdr:colOff>
      <xdr:row>9</xdr:row>
      <xdr:rowOff>165287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2E387E-8173-3DF8-3927-417F0A298D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348302</xdr:colOff>
      <xdr:row>2</xdr:row>
      <xdr:rowOff>0</xdr:rowOff>
    </xdr:from>
    <xdr:to>
      <xdr:col>25</xdr:col>
      <xdr:colOff>361991</xdr:colOff>
      <xdr:row>23</xdr:row>
      <xdr:rowOff>142163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7A5ADD-6B30-49FE-B524-1F79323F54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230786</xdr:colOff>
      <xdr:row>0</xdr:row>
      <xdr:rowOff>0</xdr:rowOff>
    </xdr:from>
    <xdr:to>
      <xdr:col>23</xdr:col>
      <xdr:colOff>244474</xdr:colOff>
      <xdr:row>21</xdr:row>
      <xdr:rowOff>142163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258AE2-0670-4F87-8C1A-BF44D129EB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3CB46-9921-46F4-91A7-446FFE25AD64}">
  <dimension ref="A1:E8"/>
  <sheetViews>
    <sheetView topLeftCell="B1" zoomScale="99" workbookViewId="0">
      <selection activeCell="E10" sqref="E10"/>
    </sheetView>
  </sheetViews>
  <sheetFormatPr defaultRowHeight="14.25" x14ac:dyDescent="0.45"/>
  <cols>
    <col min="1" max="1" width="9.46484375" bestFit="1" customWidth="1"/>
    <col min="2" max="2" width="11.46484375" bestFit="1" customWidth="1"/>
    <col min="3" max="3" width="5.53125" bestFit="1" customWidth="1"/>
    <col min="4" max="4" width="8.265625" bestFit="1" customWidth="1"/>
    <col min="5" max="5" width="5.53125" bestFit="1" customWidth="1"/>
  </cols>
  <sheetData>
    <row r="1" spans="1:5" x14ac:dyDescent="0.45">
      <c r="A1" t="s">
        <v>7</v>
      </c>
      <c r="B1" t="s">
        <v>8</v>
      </c>
      <c r="C1" t="s">
        <v>3</v>
      </c>
      <c r="D1" t="s">
        <v>4</v>
      </c>
      <c r="E1" t="s">
        <v>3</v>
      </c>
    </row>
    <row r="2" spans="1:5" x14ac:dyDescent="0.45">
      <c r="A2">
        <v>0</v>
      </c>
      <c r="B2">
        <v>0</v>
      </c>
      <c r="C2">
        <f>A2-B2</f>
        <v>0</v>
      </c>
      <c r="D2">
        <v>0</v>
      </c>
      <c r="E2">
        <v>0</v>
      </c>
    </row>
    <row r="3" spans="1:5" x14ac:dyDescent="0.45">
      <c r="A3">
        <v>5</v>
      </c>
      <c r="B3">
        <v>4.88</v>
      </c>
      <c r="C3">
        <f t="shared" ref="C3:C8" si="0">A3-B3</f>
        <v>0.12000000000000011</v>
      </c>
      <c r="D3">
        <v>4.97</v>
      </c>
      <c r="E3">
        <f>A3-D3</f>
        <v>3.0000000000000249E-2</v>
      </c>
    </row>
    <row r="4" spans="1:5" x14ac:dyDescent="0.45">
      <c r="A4">
        <v>10</v>
      </c>
      <c r="B4">
        <v>9.84</v>
      </c>
      <c r="C4">
        <f t="shared" si="0"/>
        <v>0.16000000000000014</v>
      </c>
      <c r="D4">
        <v>9.9600000000000009</v>
      </c>
      <c r="E4">
        <f t="shared" ref="E4:E8" si="1">A4-D4</f>
        <v>3.9999999999999147E-2</v>
      </c>
    </row>
    <row r="5" spans="1:5" x14ac:dyDescent="0.45">
      <c r="A5">
        <v>15</v>
      </c>
      <c r="B5">
        <v>14.84</v>
      </c>
      <c r="C5">
        <f t="shared" si="0"/>
        <v>0.16000000000000014</v>
      </c>
      <c r="D5">
        <v>14.97</v>
      </c>
      <c r="E5">
        <f t="shared" si="1"/>
        <v>2.9999999999999361E-2</v>
      </c>
    </row>
    <row r="6" spans="1:5" x14ac:dyDescent="0.45">
      <c r="A6">
        <v>20</v>
      </c>
      <c r="B6">
        <v>19.8</v>
      </c>
      <c r="C6">
        <f t="shared" si="0"/>
        <v>0.19999999999999929</v>
      </c>
      <c r="D6">
        <v>19.98</v>
      </c>
      <c r="E6">
        <f t="shared" si="1"/>
        <v>1.9999999999999574E-2</v>
      </c>
    </row>
    <row r="7" spans="1:5" x14ac:dyDescent="0.45">
      <c r="A7">
        <v>25</v>
      </c>
      <c r="B7">
        <v>24.8</v>
      </c>
      <c r="C7">
        <f t="shared" si="0"/>
        <v>0.19999999999999929</v>
      </c>
      <c r="D7">
        <v>25.01</v>
      </c>
      <c r="E7">
        <f t="shared" si="1"/>
        <v>-1.0000000000001563E-2</v>
      </c>
    </row>
    <row r="8" spans="1:5" x14ac:dyDescent="0.45">
      <c r="A8">
        <v>30</v>
      </c>
      <c r="B8">
        <v>29.75</v>
      </c>
      <c r="C8">
        <f t="shared" si="0"/>
        <v>0.25</v>
      </c>
      <c r="D8">
        <v>30.01</v>
      </c>
      <c r="E8">
        <f t="shared" si="1"/>
        <v>-1.0000000000001563E-2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C4BC6-4F0B-469C-9143-C0A2C4F13396}">
  <dimension ref="A1:H8"/>
  <sheetViews>
    <sheetView tabSelected="1" zoomScale="131" workbookViewId="0">
      <selection activeCell="F12" sqref="F12"/>
    </sheetView>
  </sheetViews>
  <sheetFormatPr defaultRowHeight="14.25" x14ac:dyDescent="0.45"/>
  <cols>
    <col min="2" max="2" width="18" bestFit="1" customWidth="1"/>
    <col min="5" max="5" width="9.06640625" customWidth="1"/>
    <col min="8" max="8" width="14.796875" bestFit="1" customWidth="1"/>
    <col min="9" max="9" width="7.9296875" bestFit="1" customWidth="1"/>
  </cols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4</v>
      </c>
      <c r="G1" t="s">
        <v>3</v>
      </c>
      <c r="H1" t="s">
        <v>6</v>
      </c>
    </row>
    <row r="2" spans="1:8" x14ac:dyDescent="0.45">
      <c r="A2">
        <v>1</v>
      </c>
      <c r="B2">
        <f>A2*8</f>
        <v>8</v>
      </c>
      <c r="C2">
        <v>8.26</v>
      </c>
      <c r="D2">
        <f t="shared" ref="D2:D6" si="0">B2-C2</f>
        <v>-0.25999999999999979</v>
      </c>
      <c r="E2" s="1">
        <f>D2/B2</f>
        <v>-3.2499999999999973E-2</v>
      </c>
      <c r="F2">
        <v>0</v>
      </c>
      <c r="G2">
        <f>F2-B2</f>
        <v>-8</v>
      </c>
      <c r="H2" s="1">
        <f>G2/B2</f>
        <v>-1</v>
      </c>
    </row>
    <row r="3" spans="1:8" x14ac:dyDescent="0.45">
      <c r="A3">
        <v>1.5</v>
      </c>
      <c r="B3">
        <f t="shared" ref="B3:B6" si="1">A3*8</f>
        <v>12</v>
      </c>
      <c r="C3">
        <v>12.1</v>
      </c>
      <c r="D3">
        <f t="shared" si="0"/>
        <v>-9.9999999999999645E-2</v>
      </c>
      <c r="E3" s="1">
        <f t="shared" ref="E3:E6" si="2">D3/B3</f>
        <v>-8.3333333333333037E-3</v>
      </c>
      <c r="F3">
        <v>0</v>
      </c>
      <c r="G3">
        <f t="shared" ref="G3:G6" si="3">F3-B3</f>
        <v>-12</v>
      </c>
      <c r="H3" s="1">
        <f t="shared" ref="H3:H6" si="4">G3/B3</f>
        <v>-1</v>
      </c>
    </row>
    <row r="4" spans="1:8" x14ac:dyDescent="0.45">
      <c r="A4">
        <v>2</v>
      </c>
      <c r="B4">
        <f t="shared" si="1"/>
        <v>16</v>
      </c>
      <c r="C4">
        <v>16.02</v>
      </c>
      <c r="D4">
        <f t="shared" si="0"/>
        <v>-1.9999999999999574E-2</v>
      </c>
      <c r="E4" s="1">
        <f t="shared" si="2"/>
        <v>-1.2499999999999734E-3</v>
      </c>
      <c r="F4">
        <v>0</v>
      </c>
      <c r="G4">
        <f t="shared" si="3"/>
        <v>-16</v>
      </c>
      <c r="H4" s="1">
        <f t="shared" si="4"/>
        <v>-1</v>
      </c>
    </row>
    <row r="5" spans="1:8" x14ac:dyDescent="0.45">
      <c r="A5">
        <v>2.5</v>
      </c>
      <c r="B5">
        <f t="shared" si="1"/>
        <v>20</v>
      </c>
      <c r="C5">
        <v>19.93</v>
      </c>
      <c r="D5">
        <f t="shared" si="0"/>
        <v>7.0000000000000284E-2</v>
      </c>
      <c r="E5" s="1">
        <f t="shared" si="2"/>
        <v>3.5000000000000144E-3</v>
      </c>
      <c r="F5">
        <v>0</v>
      </c>
      <c r="G5">
        <f t="shared" si="3"/>
        <v>-20</v>
      </c>
      <c r="H5" s="1">
        <f t="shared" si="4"/>
        <v>-1</v>
      </c>
    </row>
    <row r="6" spans="1:8" x14ac:dyDescent="0.45">
      <c r="A6">
        <v>3</v>
      </c>
      <c r="B6">
        <f t="shared" si="1"/>
        <v>24</v>
      </c>
      <c r="C6">
        <v>23.92</v>
      </c>
      <c r="D6">
        <f t="shared" si="0"/>
        <v>7.9999999999998295E-2</v>
      </c>
      <c r="E6" s="1">
        <f t="shared" si="2"/>
        <v>3.3333333333332624E-3</v>
      </c>
      <c r="F6">
        <v>0</v>
      </c>
      <c r="G6">
        <f t="shared" si="3"/>
        <v>-24</v>
      </c>
      <c r="H6" s="1">
        <f t="shared" si="4"/>
        <v>-1</v>
      </c>
    </row>
    <row r="8" spans="1:8" x14ac:dyDescent="0.45">
      <c r="A8" t="s">
        <v>5</v>
      </c>
      <c r="D8">
        <f>AVERAGE(D2:D6)</f>
        <v>-4.6000000000000082E-2</v>
      </c>
      <c r="E8" s="2">
        <f>AVERAGE(E2:E6)</f>
        <v>-7.0499999999999938E-3</v>
      </c>
      <c r="G8">
        <f>AVERAGE(G2:G6)</f>
        <v>-16</v>
      </c>
      <c r="H8" s="2">
        <f>AVERAGE(H2:H6)</f>
        <v>-1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09856-4B7B-4A32-813D-A6B1BCF82BA0}">
  <dimension ref="A1:H8"/>
  <sheetViews>
    <sheetView zoomScale="63" workbookViewId="0">
      <selection activeCell="G22" sqref="G22"/>
    </sheetView>
  </sheetViews>
  <sheetFormatPr defaultRowHeight="14.25" x14ac:dyDescent="0.45"/>
  <cols>
    <col min="2" max="2" width="18" bestFit="1" customWidth="1"/>
    <col min="8" max="8" width="14.796875" bestFit="1" customWidth="1"/>
    <col min="9" max="9" width="7.9296875" bestFit="1" customWidth="1"/>
  </cols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4</v>
      </c>
      <c r="G1" t="s">
        <v>3</v>
      </c>
      <c r="H1" t="s">
        <v>6</v>
      </c>
    </row>
    <row r="2" spans="1:8" x14ac:dyDescent="0.45">
      <c r="A2">
        <v>1</v>
      </c>
      <c r="B2">
        <f>A2*9</f>
        <v>9</v>
      </c>
      <c r="C2">
        <v>9.0399999999999991</v>
      </c>
      <c r="D2">
        <f t="shared" ref="D2:D6" si="0">B2-C2</f>
        <v>-3.9999999999999147E-2</v>
      </c>
      <c r="E2" s="1">
        <f>D2/B2</f>
        <v>-4.4444444444443499E-3</v>
      </c>
      <c r="F2">
        <v>9.07</v>
      </c>
      <c r="G2">
        <f>F2-B2</f>
        <v>7.0000000000000284E-2</v>
      </c>
      <c r="H2" s="1">
        <f>G2/B2</f>
        <v>7.7777777777778096E-3</v>
      </c>
    </row>
    <row r="3" spans="1:8" x14ac:dyDescent="0.45">
      <c r="A3">
        <v>1.5</v>
      </c>
      <c r="B3">
        <f t="shared" ref="B3:B6" si="1">A3*9</f>
        <v>13.5</v>
      </c>
      <c r="C3">
        <v>13.52</v>
      </c>
      <c r="D3">
        <f t="shared" si="0"/>
        <v>-1.9999999999999574E-2</v>
      </c>
      <c r="E3" s="1">
        <f t="shared" ref="E3:E6" si="2">D3/B3</f>
        <v>-1.48148148148145E-3</v>
      </c>
      <c r="F3">
        <v>13.57</v>
      </c>
      <c r="G3">
        <f t="shared" ref="G3:G6" si="3">F3-B3</f>
        <v>7.0000000000000284E-2</v>
      </c>
      <c r="H3" s="1">
        <f t="shared" ref="H3:H6" si="4">G3/B3</f>
        <v>5.1851851851852059E-3</v>
      </c>
    </row>
    <row r="4" spans="1:8" x14ac:dyDescent="0.45">
      <c r="A4">
        <v>2</v>
      </c>
      <c r="B4">
        <f t="shared" si="1"/>
        <v>18</v>
      </c>
      <c r="C4">
        <v>17.79</v>
      </c>
      <c r="D4">
        <f t="shared" si="0"/>
        <v>0.21000000000000085</v>
      </c>
      <c r="E4" s="1">
        <f t="shared" si="2"/>
        <v>1.1666666666666714E-2</v>
      </c>
      <c r="F4">
        <v>18.07</v>
      </c>
      <c r="G4">
        <f t="shared" si="3"/>
        <v>7.0000000000000284E-2</v>
      </c>
      <c r="H4" s="1">
        <f t="shared" si="4"/>
        <v>3.8888888888889048E-3</v>
      </c>
    </row>
    <row r="5" spans="1:8" x14ac:dyDescent="0.45">
      <c r="A5">
        <v>2.5</v>
      </c>
      <c r="B5">
        <f t="shared" si="1"/>
        <v>22.5</v>
      </c>
      <c r="C5">
        <v>22.21</v>
      </c>
      <c r="D5">
        <f t="shared" si="0"/>
        <v>0.28999999999999915</v>
      </c>
      <c r="E5" s="1">
        <f t="shared" si="2"/>
        <v>1.2888888888888851E-2</v>
      </c>
      <c r="F5">
        <v>22.35</v>
      </c>
      <c r="G5">
        <f t="shared" si="3"/>
        <v>-0.14999999999999858</v>
      </c>
      <c r="H5" s="1">
        <f t="shared" si="4"/>
        <v>-6.6666666666666038E-3</v>
      </c>
    </row>
    <row r="6" spans="1:8" x14ac:dyDescent="0.45">
      <c r="A6">
        <v>3</v>
      </c>
      <c r="B6">
        <f t="shared" si="1"/>
        <v>27</v>
      </c>
      <c r="C6">
        <v>26.76</v>
      </c>
      <c r="D6">
        <f t="shared" si="0"/>
        <v>0.23999999999999844</v>
      </c>
      <c r="E6" s="1">
        <f t="shared" si="2"/>
        <v>8.8888888888888316E-3</v>
      </c>
      <c r="F6">
        <v>27</v>
      </c>
      <c r="G6">
        <f t="shared" si="3"/>
        <v>0</v>
      </c>
      <c r="H6" s="1">
        <f t="shared" si="4"/>
        <v>0</v>
      </c>
    </row>
    <row r="8" spans="1:8" x14ac:dyDescent="0.45">
      <c r="A8" t="s">
        <v>5</v>
      </c>
      <c r="D8">
        <f>AVERAGE(D2:D6)</f>
        <v>0.13599999999999995</v>
      </c>
      <c r="E8" s="2">
        <f>AVERAGE(E2:E6)</f>
        <v>5.5037037037037198E-3</v>
      </c>
      <c r="G8">
        <f>AVERAGE(G2:G6)</f>
        <v>1.2000000000000455E-2</v>
      </c>
      <c r="H8" s="2">
        <f>AVERAGE(H2:H6)</f>
        <v>2.0370370370370633E-3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8E294-58FA-4837-949C-A1A975D3CC3B}">
  <dimension ref="A1:H8"/>
  <sheetViews>
    <sheetView zoomScale="84" workbookViewId="0">
      <selection activeCell="F3" sqref="F3"/>
    </sheetView>
  </sheetViews>
  <sheetFormatPr defaultRowHeight="14.25" x14ac:dyDescent="0.45"/>
  <cols>
    <col min="2" max="2" width="18" bestFit="1" customWidth="1"/>
    <col min="8" max="8" width="14.796875" bestFit="1" customWidth="1"/>
    <col min="9" max="9" width="7.9296875" bestFit="1" customWidth="1"/>
  </cols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4</v>
      </c>
      <c r="G1" t="s">
        <v>3</v>
      </c>
      <c r="H1" t="s">
        <v>6</v>
      </c>
    </row>
    <row r="2" spans="1:8" x14ac:dyDescent="0.45">
      <c r="A2">
        <v>1</v>
      </c>
      <c r="B2">
        <f>A2*10</f>
        <v>10</v>
      </c>
      <c r="C2">
        <v>10.46</v>
      </c>
      <c r="D2">
        <f t="shared" ref="D2:D6" si="0">B2-C2</f>
        <v>-0.46000000000000085</v>
      </c>
      <c r="E2" s="1">
        <f>D2/B2</f>
        <v>-4.6000000000000082E-2</v>
      </c>
      <c r="F2">
        <v>9.9600000000000009</v>
      </c>
      <c r="G2">
        <f>F2-B2</f>
        <v>-3.9999999999999147E-2</v>
      </c>
      <c r="H2" s="1">
        <f>G2/B2</f>
        <v>-3.9999999999999151E-3</v>
      </c>
    </row>
    <row r="3" spans="1:8" x14ac:dyDescent="0.45">
      <c r="A3">
        <v>1.5</v>
      </c>
      <c r="B3">
        <f t="shared" ref="B3:B6" si="1">A3*10</f>
        <v>15</v>
      </c>
      <c r="C3">
        <v>15.37</v>
      </c>
      <c r="D3">
        <f t="shared" si="0"/>
        <v>-0.36999999999999922</v>
      </c>
      <c r="E3" s="1">
        <f t="shared" ref="E3:E6" si="2">D3/B3</f>
        <v>-2.4666666666666615E-2</v>
      </c>
      <c r="F3">
        <v>15.02</v>
      </c>
      <c r="G3">
        <f t="shared" ref="G3:G6" si="3">F3-B3</f>
        <v>1.9999999999999574E-2</v>
      </c>
      <c r="H3" s="1">
        <f t="shared" ref="H3:H6" si="4">G3/B3</f>
        <v>1.3333333333333049E-3</v>
      </c>
    </row>
    <row r="4" spans="1:8" x14ac:dyDescent="0.45">
      <c r="A4">
        <v>2</v>
      </c>
      <c r="B4">
        <f t="shared" si="1"/>
        <v>20</v>
      </c>
      <c r="C4">
        <v>20.36</v>
      </c>
      <c r="D4">
        <f t="shared" si="0"/>
        <v>-0.35999999999999943</v>
      </c>
      <c r="E4" s="1">
        <f t="shared" si="2"/>
        <v>-1.7999999999999971E-2</v>
      </c>
      <c r="F4">
        <v>19.97</v>
      </c>
      <c r="G4">
        <f t="shared" si="3"/>
        <v>-3.0000000000001137E-2</v>
      </c>
      <c r="H4" s="1">
        <f t="shared" si="4"/>
        <v>-1.5000000000000568E-3</v>
      </c>
    </row>
    <row r="5" spans="1:8" x14ac:dyDescent="0.45">
      <c r="A5">
        <v>2.5</v>
      </c>
      <c r="B5">
        <f t="shared" si="1"/>
        <v>25</v>
      </c>
      <c r="C5">
        <v>25.41</v>
      </c>
      <c r="D5">
        <f t="shared" si="0"/>
        <v>-0.41000000000000014</v>
      </c>
      <c r="E5" s="1">
        <f t="shared" si="2"/>
        <v>-1.6400000000000005E-2</v>
      </c>
      <c r="F5">
        <v>25.03</v>
      </c>
      <c r="G5">
        <f t="shared" si="3"/>
        <v>3.0000000000001137E-2</v>
      </c>
      <c r="H5" s="1">
        <f t="shared" si="4"/>
        <v>1.2000000000000454E-3</v>
      </c>
    </row>
    <row r="6" spans="1:8" x14ac:dyDescent="0.45">
      <c r="A6">
        <v>3</v>
      </c>
      <c r="B6">
        <f t="shared" si="1"/>
        <v>30</v>
      </c>
      <c r="C6">
        <v>30.25</v>
      </c>
      <c r="D6">
        <f t="shared" si="0"/>
        <v>-0.25</v>
      </c>
      <c r="E6" s="1">
        <f t="shared" si="2"/>
        <v>-8.3333333333333332E-3</v>
      </c>
      <c r="F6">
        <v>30.04</v>
      </c>
      <c r="G6">
        <f t="shared" si="3"/>
        <v>3.9999999999999147E-2</v>
      </c>
      <c r="H6" s="1">
        <f t="shared" si="4"/>
        <v>1.3333333333333049E-3</v>
      </c>
    </row>
    <row r="8" spans="1:8" x14ac:dyDescent="0.45">
      <c r="A8" t="s">
        <v>5</v>
      </c>
      <c r="D8">
        <f>AVERAGE(D2:D6)</f>
        <v>-0.36999999999999994</v>
      </c>
      <c r="E8" s="2">
        <f>AVERAGE(E2:E6)</f>
        <v>-2.2679999999999999E-2</v>
      </c>
      <c r="G8">
        <f>AVERAGE(G2:G6)</f>
        <v>3.9999999999999151E-3</v>
      </c>
      <c r="H8" s="2">
        <f>AVERAGE(H2:H6)</f>
        <v>-3.2666666666666337E-4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Battery Voltage</vt:lpstr>
      <vt:lpstr>Motor Current</vt:lpstr>
      <vt:lpstr>Solar Current</vt:lpstr>
      <vt:lpstr>Auxiliary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Fitzgerald-Zimmer, Max</dc:creator>
  <cp:lastModifiedBy>Fitzgerald-Zimmer, Max</cp:lastModifiedBy>
  <dcterms:created xsi:type="dcterms:W3CDTF">2025-03-06T08:40:48Z</dcterms:created>
  <dcterms:modified xsi:type="dcterms:W3CDTF">2025-03-06T16:25:04Z</dcterms:modified>
</cp:coreProperties>
</file>