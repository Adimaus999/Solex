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ahf202_exeter_ac_uk/Documents/4th Year Design Project/Code/Solex/Max/Arduino/Arduino Board Testing/High Res Testing and Tuneing/"/>
    </mc:Choice>
  </mc:AlternateContent>
  <xr:revisionPtr revIDLastSave="372" documentId="8_{01A00817-EADD-4DE4-AA49-850561A66BA9}" xr6:coauthVersionLast="47" xr6:coauthVersionMax="47" xr10:uidLastSave="{7394B1D4-3A41-4C28-B7EF-E91ED39E8A81}"/>
  <bookViews>
    <workbookView xWindow="-98" yWindow="-98" windowWidth="21795" windowHeight="12975" xr2:uid="{5D5FDD7C-948B-43F0-8236-2633AF66ED44}"/>
  </bookViews>
  <sheets>
    <sheet name="Battery Voltage" sheetId="1" r:id="rId1"/>
    <sheet name="Motor Current" sheetId="2" r:id="rId2"/>
    <sheet name="Solar Current" sheetId="3" r:id="rId3"/>
    <sheet name="Auxili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2" i="2"/>
  <c r="B2" i="3"/>
  <c r="B3" i="3"/>
  <c r="G3" i="3" s="1"/>
  <c r="H3" i="3" s="1"/>
  <c r="B4" i="3"/>
  <c r="B5" i="3"/>
  <c r="G5" i="3" s="1"/>
  <c r="H5" i="3" s="1"/>
  <c r="B6" i="3"/>
  <c r="D3" i="2"/>
  <c r="E3" i="2" s="1"/>
  <c r="G2" i="2"/>
  <c r="H2" i="2" s="1"/>
  <c r="D5" i="2"/>
  <c r="E5" i="2" s="1"/>
  <c r="D6" i="2"/>
  <c r="E6" i="2" s="1"/>
  <c r="B3" i="4"/>
  <c r="B4" i="4"/>
  <c r="B5" i="4"/>
  <c r="B6" i="4"/>
  <c r="B2" i="4"/>
  <c r="G2" i="4" s="1"/>
  <c r="G6" i="3"/>
  <c r="H6" i="3" s="1"/>
  <c r="G4" i="3"/>
  <c r="H4" i="3" s="1"/>
  <c r="G2" i="3"/>
  <c r="H2" i="3" s="1"/>
  <c r="G3" i="4"/>
  <c r="H3" i="4" s="1"/>
  <c r="G4" i="4"/>
  <c r="H4" i="4" s="1"/>
  <c r="G6" i="4"/>
  <c r="H6" i="4" s="1"/>
  <c r="G5" i="4"/>
  <c r="H5" i="4" s="1"/>
  <c r="E4" i="1"/>
  <c r="E5" i="1"/>
  <c r="E3" i="1"/>
  <c r="D2" i="2"/>
  <c r="D4" i="2"/>
  <c r="E4" i="2" s="1"/>
  <c r="C3" i="1"/>
  <c r="C4" i="1"/>
  <c r="C5" i="1"/>
  <c r="C2" i="1"/>
  <c r="G8" i="4" l="1"/>
  <c r="H2" i="4"/>
  <c r="H8" i="4" s="1"/>
  <c r="D2" i="4"/>
  <c r="D6" i="4"/>
  <c r="E6" i="4" s="1"/>
  <c r="D3" i="4"/>
  <c r="E3" i="4" s="1"/>
  <c r="D4" i="4"/>
  <c r="E4" i="4" s="1"/>
  <c r="D5" i="4"/>
  <c r="E5" i="4" s="1"/>
  <c r="D8" i="2"/>
  <c r="E2" i="2"/>
  <c r="E8" i="2" s="1"/>
  <c r="D4" i="3"/>
  <c r="E4" i="3" s="1"/>
  <c r="D5" i="3"/>
  <c r="E5" i="3" s="1"/>
  <c r="D2" i="3"/>
  <c r="E2" i="3" s="1"/>
  <c r="D6" i="3"/>
  <c r="E6" i="3" s="1"/>
  <c r="G8" i="3"/>
  <c r="H8" i="3"/>
  <c r="D3" i="3"/>
  <c r="E3" i="3" s="1"/>
  <c r="G5" i="2"/>
  <c r="H5" i="2" s="1"/>
  <c r="G4" i="2"/>
  <c r="H4" i="2" s="1"/>
  <c r="G6" i="2"/>
  <c r="H6" i="2" s="1"/>
  <c r="G3" i="2"/>
  <c r="H3" i="2" s="1"/>
  <c r="D8" i="4" l="1"/>
  <c r="E2" i="4"/>
  <c r="E8" i="4" s="1"/>
  <c r="G8" i="2"/>
  <c r="H8" i="2"/>
  <c r="E8" i="3"/>
  <c r="D8" i="3"/>
</calcChain>
</file>

<file path=xl/sharedStrings.xml><?xml version="1.0" encoding="utf-8"?>
<sst xmlns="http://schemas.openxmlformats.org/spreadsheetml/2006/main" count="38" uniqueCount="13">
  <si>
    <t>Input</t>
  </si>
  <si>
    <t>Theoretical Real Value</t>
  </si>
  <si>
    <t>Actual</t>
  </si>
  <si>
    <t>Error</t>
  </si>
  <si>
    <t>Improved</t>
  </si>
  <si>
    <t>Mean Error</t>
  </si>
  <si>
    <t>% Error</t>
  </si>
  <si>
    <t>Theoretical</t>
  </si>
  <si>
    <t>Measurement</t>
  </si>
  <si>
    <t>[0</t>
  </si>
  <si>
    <t>0.008]</t>
  </si>
  <si>
    <t>0.1 0.2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</si>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</sst>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906671761299304E-2"/>
          <c:y val="1.1819199374838822E-2"/>
          <c:w val="0.93733601859457616"/>
          <c:h val="0.9526588157790844"/>
        </c:manualLayout>
      </c:layout>
      <c:scatterChart>
        <c:scatterStyle val="smoothMarker"/>
        <c:varyColors val="0"/>
        <c:ser>
          <c:idx val="0"/>
          <c:order val="0"/>
          <c:tx>
            <c:v>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'Battery Voltage'!$A$2:$A$34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'Battery Voltage'!$B$2:$B$34</c:f>
              <c:numCache>
                <c:formatCode>General</c:formatCode>
                <c:ptCount val="33"/>
                <c:pt idx="0">
                  <c:v>0</c:v>
                </c:pt>
                <c:pt idx="1">
                  <c:v>4.7850000000000001</c:v>
                </c:pt>
                <c:pt idx="2">
                  <c:v>9.8000000000000007</c:v>
                </c:pt>
                <c:pt idx="3">
                  <c:v>14.76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88EB-4663-B371-DFD098167B40}"/>
            </c:ext>
          </c:extLst>
        </c:ser>
        <c:ser>
          <c:idx val="1"/>
          <c:order val="1"/>
          <c:tx>
            <c:v>Error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139343855858929E-2"/>
                  <c:y val="-9.16461910153612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'Battery Voltage'!$A$2:$A$34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'Battery Voltage'!$C$2:$C$34</c:f>
              <c:numCache>
                <c:formatCode>General</c:formatCode>
                <c:ptCount val="33"/>
                <c:pt idx="0">
                  <c:v>0</c:v>
                </c:pt>
                <c:pt idx="1">
                  <c:v>0.21499999999999986</c:v>
                </c:pt>
                <c:pt idx="2">
                  <c:v>0.19999999999999929</c:v>
                </c:pt>
                <c:pt idx="3">
                  <c:v>0.24000000000000021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88EB-4663-B371-DFD098167B40}"/>
            </c:ext>
          </c:extLst>
        </c:ser>
        <c:ser>
          <c:idx val="2"/>
          <c:order val="2"/>
          <c:tx>
            <c:v>Actual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'Battery Voltage'!$A$2:$A$34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</c:numCache>
            </c:numRef>
          </c:xVal>
          <c:yVal>
            <c:numRef>
              <c:f>'Battery Voltage'!$B$2:$B$34</c:f>
              <c:numCache>
                <c:formatCode>General</c:formatCode>
                <c:ptCount val="33"/>
                <c:pt idx="0">
                  <c:v>0</c:v>
                </c:pt>
                <c:pt idx="1">
                  <c:v>4.7850000000000001</c:v>
                </c:pt>
                <c:pt idx="2">
                  <c:v>9.8000000000000007</c:v>
                </c:pt>
                <c:pt idx="3">
                  <c:v>14.76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88EB-4663-B371-DFD098167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095535"/>
        <c:axId val="544094575"/>
      </c:scatterChart>
      <c:valAx>
        <c:axId val="54409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94575"/>
        <c:crosses val="autoZero"/>
        <c:crossBetween val="midCat"/>
      </c:valAx>
      <c:valAx>
        <c:axId val="54409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9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07176589327341E-2"/>
          <c:y val="4.9544625883214635E-2"/>
          <c:w val="0.94359625919997225"/>
          <c:h val="0.89435144938755573"/>
        </c:manualLayout>
      </c:layout>
      <c:scatterChart>
        <c:scatterStyle val="lineMarker"/>
        <c:varyColors val="0"/>
        <c:ser>
          <c:idx val="0"/>
          <c:order val="0"/>
          <c:tx>
            <c:v>Theoretical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Current'!$B$2:$B$6</c:f>
              <c:numCache>
                <c:formatCode>General</c:formatCode>
                <c:ptCount val="5"/>
                <c:pt idx="0">
                  <c:v>7</c:v>
                </c:pt>
                <c:pt idx="1">
                  <c:v>10.5</c:v>
                </c:pt>
                <c:pt idx="2">
                  <c:v>14</c:v>
                </c:pt>
                <c:pt idx="3">
                  <c:v>17.5</c:v>
                </c:pt>
                <c:pt idx="4">
                  <c:v>21</c:v>
                </c:pt>
              </c:numCache>
            </c:numRef>
          </c:xVal>
          <c:yVal>
            <c:numRef>
              <c:f>'Motor Current'!$B$2:$B$6</c:f>
              <c:numCache>
                <c:formatCode>General</c:formatCode>
                <c:ptCount val="5"/>
                <c:pt idx="0">
                  <c:v>7</c:v>
                </c:pt>
                <c:pt idx="1">
                  <c:v>10.5</c:v>
                </c:pt>
                <c:pt idx="2">
                  <c:v>14</c:v>
                </c:pt>
                <c:pt idx="3">
                  <c:v>17.5</c:v>
                </c:pt>
                <c:pt idx="4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2-458D-A14F-480DE0F77820}"/>
            </c:ext>
          </c:extLst>
        </c:ser>
        <c:ser>
          <c:idx val="1"/>
          <c:order val="1"/>
          <c:tx>
            <c:v>Actual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'Motor Current'!$B$2:$B$6</c:f>
              <c:numCache>
                <c:formatCode>General</c:formatCode>
                <c:ptCount val="5"/>
                <c:pt idx="0">
                  <c:v>7</c:v>
                </c:pt>
                <c:pt idx="1">
                  <c:v>10.5</c:v>
                </c:pt>
                <c:pt idx="2">
                  <c:v>14</c:v>
                </c:pt>
                <c:pt idx="3">
                  <c:v>17.5</c:v>
                </c:pt>
                <c:pt idx="4">
                  <c:v>21</c:v>
                </c:pt>
              </c:numCache>
            </c:numRef>
          </c:xVal>
          <c:yVal>
            <c:numRef>
              <c:f>'Motor Current'!$C$2:$C$6</c:f>
              <c:numCache>
                <c:formatCode>General</c:formatCode>
                <c:ptCount val="5"/>
                <c:pt idx="0">
                  <c:v>7.1</c:v>
                </c:pt>
                <c:pt idx="1">
                  <c:v>10.509</c:v>
                </c:pt>
                <c:pt idx="2">
                  <c:v>13.846</c:v>
                </c:pt>
                <c:pt idx="3">
                  <c:v>17.396000000000001</c:v>
                </c:pt>
                <c:pt idx="4">
                  <c:v>20.661999999999999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92-458D-A14F-480DE0F77820}"/>
            </c:ext>
          </c:extLst>
        </c:ser>
        <c:ser>
          <c:idx val="2"/>
          <c:order val="2"/>
          <c:tx>
            <c:v>Error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745139215512939E-2"/>
                  <c:y val="-0.12064116402562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'Motor Current'!$B$2:$B$6</c:f>
              <c:numCache>
                <c:formatCode>General</c:formatCode>
                <c:ptCount val="5"/>
                <c:pt idx="0">
                  <c:v>7</c:v>
                </c:pt>
                <c:pt idx="1">
                  <c:v>10.5</c:v>
                </c:pt>
                <c:pt idx="2">
                  <c:v>14</c:v>
                </c:pt>
                <c:pt idx="3">
                  <c:v>17.5</c:v>
                </c:pt>
                <c:pt idx="4">
                  <c:v>21</c:v>
                </c:pt>
              </c:numCache>
            </c:numRef>
          </c:xVal>
          <c:yVal>
            <c:numRef>
              <c:f>'Motor Current'!$D$2:$D$6</c:f>
              <c:numCache>
                <c:formatCode>General</c:formatCode>
                <c:ptCount val="5"/>
                <c:pt idx="0">
                  <c:v>-9.9999999999999645E-2</c:v>
                </c:pt>
                <c:pt idx="1">
                  <c:v>-9.0000000000003411E-3</c:v>
                </c:pt>
                <c:pt idx="2">
                  <c:v>0.15399999999999991</c:v>
                </c:pt>
                <c:pt idx="3">
                  <c:v>0.1039999999999992</c:v>
                </c:pt>
                <c:pt idx="4">
                  <c:v>0.33800000000000097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92-458D-A14F-480DE0F77820}"/>
            </c:ext>
          </c:extLst>
        </c:ser>
        <c:ser>
          <c:idx val="3"/>
          <c:order val="3"/>
          <c:tx>
            <c:v>Second Pass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'Motor Current'!$B$2:$B$6</c:f>
              <c:numCache>
                <c:formatCode>General</c:formatCode>
                <c:ptCount val="5"/>
                <c:pt idx="0">
                  <c:v>7</c:v>
                </c:pt>
                <c:pt idx="1">
                  <c:v>10.5</c:v>
                </c:pt>
                <c:pt idx="2">
                  <c:v>14</c:v>
                </c:pt>
                <c:pt idx="3">
                  <c:v>17.5</c:v>
                </c:pt>
                <c:pt idx="4">
                  <c:v>21</c:v>
                </c:pt>
              </c:numCache>
            </c:numRef>
          </c:xVal>
          <c:yVal>
            <c:numRef>
              <c:f>'Motor Current'!$F$2:$F$6</c:f>
              <c:numCache>
                <c:formatCode>General</c:formatCode>
                <c:ptCount val="5"/>
                <c:pt idx="0">
                  <c:v>7.07</c:v>
                </c:pt>
                <c:pt idx="1">
                  <c:v>10.507999999999999</c:v>
                </c:pt>
                <c:pt idx="2">
                  <c:v>14.012</c:v>
                </c:pt>
                <c:pt idx="3">
                  <c:v>17.516999999999999</c:v>
                </c:pt>
                <c:pt idx="4">
                  <c:v>21.021999999999998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92-458D-A14F-480DE0F77820}"/>
            </c:ext>
          </c:extLst>
        </c:ser>
        <c:ser>
          <c:idx val="4"/>
          <c:order val="4"/>
          <c:tx>
            <c:v>Second Pass Error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7805196825225801E-2"/>
                  <c:y val="-0.18529031760982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'Motor Current'!$B$2:$B$6</c:f>
              <c:numCache>
                <c:formatCode>General</c:formatCode>
                <c:ptCount val="5"/>
                <c:pt idx="0">
                  <c:v>7</c:v>
                </c:pt>
                <c:pt idx="1">
                  <c:v>10.5</c:v>
                </c:pt>
                <c:pt idx="2">
                  <c:v>14</c:v>
                </c:pt>
                <c:pt idx="3">
                  <c:v>17.5</c:v>
                </c:pt>
                <c:pt idx="4">
                  <c:v>21</c:v>
                </c:pt>
              </c:numCache>
            </c:numRef>
          </c:xVal>
          <c:yVal>
            <c:numRef>
              <c:f>'Motor Current'!$G$2:$G$7</c:f>
              <c:numCache>
                <c:formatCode>General</c:formatCode>
                <c:ptCount val="6"/>
                <c:pt idx="0">
                  <c:v>7.0000000000000284E-2</c:v>
                </c:pt>
                <c:pt idx="1">
                  <c:v>7.9999999999991189E-3</c:v>
                </c:pt>
                <c:pt idx="2">
                  <c:v>1.2000000000000455E-2</c:v>
                </c:pt>
                <c:pt idx="3">
                  <c:v>1.699999999999946E-2</c:v>
                </c:pt>
                <c:pt idx="4">
                  <c:v>2.1999999999998465E-2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292-458D-A14F-480DE0F77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1584"/>
        <c:axId val="589917824"/>
      </c:scatterChart>
      <c:valAx>
        <c:axId val="5899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7824"/>
        <c:crosses val="autoZero"/>
        <c:crossBetween val="midCat"/>
      </c:valAx>
      <c:valAx>
        <c:axId val="5899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07176589327341E-2"/>
          <c:y val="4.9544625883214635E-2"/>
          <c:w val="0.94359625919997225"/>
          <c:h val="0.894351449387555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'Solar Current'!$B$1</c:f>
              <c:strCache>
                <c:ptCount val="1"/>
                <c:pt idx="0">
                  <c:v>Theoretical Real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'Solar Current'!$B$2:$B$6</c:f>
              <c:numCache>
                <c:formatCode>General</c:formatCode>
                <c:ptCount val="5"/>
                <c:pt idx="0">
                  <c:v>3.5</c:v>
                </c:pt>
                <c:pt idx="1">
                  <c:v>5.25</c:v>
                </c:pt>
                <c:pt idx="2">
                  <c:v>7</c:v>
                </c:pt>
                <c:pt idx="3">
                  <c:v>8.75</c:v>
                </c:pt>
                <c:pt idx="4">
                  <c:v>10.5</c:v>
                </c:pt>
              </c:numCache>
            </c:numRef>
          </c:xVal>
          <c:yVal>
            <c:numRef>
              <c:f>'Solar Current'!$B$2:$B$6</c:f>
              <c:numCache>
                <c:formatCode>General</c:formatCode>
                <c:ptCount val="5"/>
                <c:pt idx="0">
                  <c:v>3.5</c:v>
                </c:pt>
                <c:pt idx="1">
                  <c:v>5.25</c:v>
                </c:pt>
                <c:pt idx="2">
                  <c:v>7</c:v>
                </c:pt>
                <c:pt idx="3">
                  <c:v>8.75</c:v>
                </c:pt>
                <c:pt idx="4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091-42E4-80FB-05DAE7E2C3A0}"/>
            </c:ext>
          </c:extLst>
        </c:ser>
        <c:ser>
          <c:idx val="1"/>
          <c:order val="1"/>
          <c:tx>
            <c:strRef>
              <c:f>'Solar Current'!$C$1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'Solar Current'!$B$2:$B$6</c:f>
              <c:numCache>
                <c:formatCode>General</c:formatCode>
                <c:ptCount val="5"/>
                <c:pt idx="0">
                  <c:v>3.5</c:v>
                </c:pt>
                <c:pt idx="1">
                  <c:v>5.25</c:v>
                </c:pt>
                <c:pt idx="2">
                  <c:v>7</c:v>
                </c:pt>
                <c:pt idx="3">
                  <c:v>8.75</c:v>
                </c:pt>
                <c:pt idx="4">
                  <c:v>10.5</c:v>
                </c:pt>
              </c:numCache>
            </c:numRef>
          </c:xVal>
          <c:yVal>
            <c:numRef>
              <c:f>'Solar Current'!$C$2:$C$6</c:f>
              <c:numCache>
                <c:formatCode>General</c:formatCode>
                <c:ptCount val="5"/>
                <c:pt idx="0">
                  <c:v>3.621</c:v>
                </c:pt>
                <c:pt idx="1">
                  <c:v>5.3609999999999998</c:v>
                </c:pt>
                <c:pt idx="2">
                  <c:v>7.0650000000000004</c:v>
                </c:pt>
                <c:pt idx="3">
                  <c:v>8.7690000000000001</c:v>
                </c:pt>
                <c:pt idx="4">
                  <c:v>10.36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91-42E4-80FB-05DAE7E2C3A0}"/>
            </c:ext>
          </c:extLst>
        </c:ser>
        <c:ser>
          <c:idx val="2"/>
          <c:order val="2"/>
          <c:tx>
            <c:strRef>
              <c:f>'Solar Current'!$D$1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342581498282108E-2"/>
                  <c:y val="-6.65394243740407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'Solar Current'!$B$2:$B$6</c:f>
              <c:numCache>
                <c:formatCode>General</c:formatCode>
                <c:ptCount val="5"/>
                <c:pt idx="0">
                  <c:v>3.5</c:v>
                </c:pt>
                <c:pt idx="1">
                  <c:v>5.25</c:v>
                </c:pt>
                <c:pt idx="2">
                  <c:v>7</c:v>
                </c:pt>
                <c:pt idx="3">
                  <c:v>8.75</c:v>
                </c:pt>
                <c:pt idx="4">
                  <c:v>10.5</c:v>
                </c:pt>
              </c:numCache>
            </c:numRef>
          </c:xVal>
          <c:yVal>
            <c:numRef>
              <c:f>'Solar Current'!$D$2:$D$6</c:f>
              <c:numCache>
                <c:formatCode>General</c:formatCode>
                <c:ptCount val="5"/>
                <c:pt idx="0">
                  <c:v>-0.121</c:v>
                </c:pt>
                <c:pt idx="1">
                  <c:v>-0.11099999999999977</c:v>
                </c:pt>
                <c:pt idx="2">
                  <c:v>-6.5000000000000391E-2</c:v>
                </c:pt>
                <c:pt idx="3">
                  <c:v>-1.9000000000000128E-2</c:v>
                </c:pt>
                <c:pt idx="4">
                  <c:v>0.14000000000000057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091-42E4-80FB-05DAE7E2C3A0}"/>
            </c:ext>
          </c:extLst>
        </c:ser>
        <c:ser>
          <c:idx val="3"/>
          <c:order val="3"/>
          <c:tx>
            <c:strRef>
              <c:f>'Solar Current'!$F$1</c:f>
              <c:strCache>
                <c:ptCount val="1"/>
                <c:pt idx="0">
                  <c:v>Improved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'Solar Current'!$B$2:$B$6</c:f>
              <c:numCache>
                <c:formatCode>General</c:formatCode>
                <c:ptCount val="5"/>
                <c:pt idx="0">
                  <c:v>3.5</c:v>
                </c:pt>
                <c:pt idx="1">
                  <c:v>5.25</c:v>
                </c:pt>
                <c:pt idx="2">
                  <c:v>7</c:v>
                </c:pt>
                <c:pt idx="3">
                  <c:v>8.75</c:v>
                </c:pt>
                <c:pt idx="4">
                  <c:v>10.5</c:v>
                </c:pt>
              </c:numCache>
            </c:numRef>
          </c:xVal>
          <c:yVal>
            <c:numRef>
              <c:f>'Solar Current'!$F$2:$F$6</c:f>
              <c:numCache>
                <c:formatCode>General</c:formatCode>
                <c:ptCount val="5"/>
                <c:pt idx="0">
                  <c:v>3.5339999999999998</c:v>
                </c:pt>
                <c:pt idx="1">
                  <c:v>5.29</c:v>
                </c:pt>
                <c:pt idx="2">
                  <c:v>7.0990000000000002</c:v>
                </c:pt>
                <c:pt idx="3">
                  <c:v>8.7560000000000002</c:v>
                </c:pt>
                <c:pt idx="4">
                  <c:v>10.56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091-42E4-80FB-05DAE7E2C3A0}"/>
            </c:ext>
          </c:extLst>
        </c:ser>
        <c:ser>
          <c:idx val="4"/>
          <c:order val="4"/>
          <c:tx>
            <c:strRef>
              <c:f>'Solar Current'!$G$1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'Solar Current'!$B$2:$B$6</c:f>
              <c:numCache>
                <c:formatCode>General</c:formatCode>
                <c:ptCount val="5"/>
                <c:pt idx="0">
                  <c:v>3.5</c:v>
                </c:pt>
                <c:pt idx="1">
                  <c:v>5.25</c:v>
                </c:pt>
                <c:pt idx="2">
                  <c:v>7</c:v>
                </c:pt>
                <c:pt idx="3">
                  <c:v>8.75</c:v>
                </c:pt>
                <c:pt idx="4">
                  <c:v>10.5</c:v>
                </c:pt>
              </c:numCache>
            </c:numRef>
          </c:xVal>
          <c:yVal>
            <c:numRef>
              <c:f>'Solar Current'!$G$2:$G$6</c:f>
              <c:numCache>
                <c:formatCode>General</c:formatCode>
                <c:ptCount val="5"/>
                <c:pt idx="0">
                  <c:v>3.3999999999999808E-2</c:v>
                </c:pt>
                <c:pt idx="1">
                  <c:v>4.0000000000000036E-2</c:v>
                </c:pt>
                <c:pt idx="2">
                  <c:v>9.9000000000000199E-2</c:v>
                </c:pt>
                <c:pt idx="3">
                  <c:v>6.0000000000002274E-3</c:v>
                </c:pt>
                <c:pt idx="4">
                  <c:v>6.0000000000000497E-2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091-42E4-80FB-05DAE7E2C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1584"/>
        <c:axId val="589917824"/>
      </c:scatterChart>
      <c:valAx>
        <c:axId val="5899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7824"/>
        <c:crosses val="autoZero"/>
        <c:crossBetween val="midCat"/>
      </c:valAx>
      <c:valAx>
        <c:axId val="5899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07176589327341E-2"/>
          <c:y val="4.9544625883214635E-2"/>
          <c:w val="0.94359625919997225"/>
          <c:h val="0.89435144938755573"/>
        </c:manualLayout>
      </c:layout>
      <c:scatterChart>
        <c:scatterStyle val="lineMarker"/>
        <c:varyColors val="0"/>
        <c:ser>
          <c:idx val="0"/>
          <c:order val="0"/>
          <c:tx>
            <c:strRef>
              <c:f>Auxiliary!$B$1</c:f>
              <c:strCache>
                <c:ptCount val="1"/>
                <c:pt idx="0">
                  <c:v>Theoretical Real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0F-422E-B01F-15904F91B740}"/>
            </c:ext>
          </c:extLst>
        </c:ser>
        <c:ser>
          <c:idx val="1"/>
          <c:order val="1"/>
          <c:tx>
            <c:strRef>
              <c:f>Auxiliary!$C$1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Auxiliary!$C$2:$C$6</c:f>
              <c:numCache>
                <c:formatCode>General</c:formatCode>
                <c:ptCount val="5"/>
                <c:pt idx="0">
                  <c:v>10.29</c:v>
                </c:pt>
                <c:pt idx="1">
                  <c:v>14.98</c:v>
                </c:pt>
                <c:pt idx="2">
                  <c:v>20.09</c:v>
                </c:pt>
                <c:pt idx="3">
                  <c:v>24.85</c:v>
                </c:pt>
                <c:pt idx="4">
                  <c:v>30.1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0F-422E-B01F-15904F91B740}"/>
            </c:ext>
          </c:extLst>
        </c:ser>
        <c:ser>
          <c:idx val="2"/>
          <c:order val="2"/>
          <c:tx>
            <c:strRef>
              <c:f>Auxiliary!$D$1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398965929477256E-2"/>
                  <c:y val="-0.138033396407382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Auxiliary!$D$2:$D$6</c:f>
              <c:numCache>
                <c:formatCode>General</c:formatCode>
                <c:ptCount val="5"/>
                <c:pt idx="0">
                  <c:v>-0.28999999999999915</c:v>
                </c:pt>
                <c:pt idx="1">
                  <c:v>1.9999999999999574E-2</c:v>
                </c:pt>
                <c:pt idx="2">
                  <c:v>-8.9999999999999858E-2</c:v>
                </c:pt>
                <c:pt idx="3">
                  <c:v>0.14999999999999858</c:v>
                </c:pt>
                <c:pt idx="4">
                  <c:v>-0.10000000000000142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10F-422E-B01F-15904F91B740}"/>
            </c:ext>
          </c:extLst>
        </c:ser>
        <c:ser>
          <c:idx val="3"/>
          <c:order val="3"/>
          <c:tx>
            <c:strRef>
              <c:f>Auxiliary!$F$1</c:f>
              <c:strCache>
                <c:ptCount val="1"/>
                <c:pt idx="0">
                  <c:v>Improved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Auxiliary!$F$2:$F$6</c:f>
              <c:numCache>
                <c:formatCode>General</c:formatCode>
                <c:ptCount val="5"/>
                <c:pt idx="0">
                  <c:v>9.99</c:v>
                </c:pt>
                <c:pt idx="1">
                  <c:v>15.01</c:v>
                </c:pt>
                <c:pt idx="2">
                  <c:v>20.02</c:v>
                </c:pt>
                <c:pt idx="3">
                  <c:v>24.98</c:v>
                </c:pt>
                <c:pt idx="4">
                  <c:v>29.93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0F-422E-B01F-15904F91B740}"/>
            </c:ext>
          </c:extLst>
        </c:ser>
        <c:ser>
          <c:idx val="4"/>
          <c:order val="4"/>
          <c:tx>
            <c:strRef>
              <c:f>Auxiliary!$G$1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Auxiliary!$G$2:$G$6</c:f>
              <c:numCache>
                <c:formatCode>General</c:formatCode>
                <c:ptCount val="5"/>
                <c:pt idx="0">
                  <c:v>-9.9999999999997868E-3</c:v>
                </c:pt>
                <c:pt idx="1">
                  <c:v>9.9999999999997868E-3</c:v>
                </c:pt>
                <c:pt idx="2">
                  <c:v>1.9999999999999574E-2</c:v>
                </c:pt>
                <c:pt idx="3">
                  <c:v>-1.9999999999999574E-2</c:v>
                </c:pt>
                <c:pt idx="4">
                  <c:v>-7.0000000000000284E-2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10F-422E-B01F-15904F91B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1584"/>
        <c:axId val="589917824"/>
      </c:scatterChart>
      <c:valAx>
        <c:axId val="5899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7824"/>
        <c:crosses val="autoZero"/>
        <c:crossBetween val="midCat"/>
      </c:valAx>
      <c:valAx>
        <c:axId val="5899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23205</xdr:colOff>
      <xdr:row>2</xdr:row>
      <xdr:rowOff>49068</xdr:rowOff>
    </xdr:from>
    <xdr:to>
      <xdr:col>20</xdr:col>
      <xdr:colOff>233217</xdr:colOff>
      <xdr:row>34</xdr:row>
      <xdr:rowOff>178178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70CCA-050F-6961-856E-1604B7FEA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568726</xdr:colOff>
      <xdr:row>2</xdr:row>
      <xdr:rowOff>0</xdr:rowOff>
    </xdr:from>
    <xdr:to>
      <xdr:col>25</xdr:col>
      <xdr:colOff>361991</xdr:colOff>
      <xdr:row>16</xdr:row>
      <xdr:rowOff>124842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E387E-8173-3DF8-3927-417F0A298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348302</xdr:colOff>
      <xdr:row>2</xdr:row>
      <xdr:rowOff>0</xdr:rowOff>
    </xdr:from>
    <xdr:to>
      <xdr:col>25</xdr:col>
      <xdr:colOff>361991</xdr:colOff>
      <xdr:row>23</xdr:row>
      <xdr:rowOff>142163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A5ADD-6B30-49FE-B524-1F79323F5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230786</xdr:colOff>
      <xdr:row>0</xdr:row>
      <xdr:rowOff>0</xdr:rowOff>
    </xdr:from>
    <xdr:to>
      <xdr:col>23</xdr:col>
      <xdr:colOff>244474</xdr:colOff>
      <xdr:row>21</xdr:row>
      <xdr:rowOff>142163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58AE2-0670-4F87-8C1A-BF44D129E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CB46-9921-46F4-91A7-446FFE25AD64}">
  <dimension ref="A1:X61"/>
  <sheetViews>
    <sheetView tabSelected="1" topLeftCell="A38" zoomScale="78" workbookViewId="0">
      <selection activeCell="O46" sqref="O46"/>
    </sheetView>
  </sheetViews>
  <sheetFormatPr defaultRowHeight="14.25" x14ac:dyDescent="0.45"/>
  <cols>
    <col min="1" max="1" width="9.46484375" bestFit="1" customWidth="1"/>
    <col min="2" max="2" width="11.46484375" bestFit="1" customWidth="1"/>
    <col min="3" max="3" width="5.53125" bestFit="1" customWidth="1"/>
    <col min="4" max="4" width="8.265625" bestFit="1" customWidth="1"/>
    <col min="5" max="5" width="5.53125" bestFit="1" customWidth="1"/>
  </cols>
  <sheetData>
    <row r="1" spans="1:24" x14ac:dyDescent="0.45">
      <c r="A1" t="s">
        <v>7</v>
      </c>
      <c r="B1" t="s">
        <v>8</v>
      </c>
      <c r="C1" t="s">
        <v>3</v>
      </c>
      <c r="D1" t="s">
        <v>4</v>
      </c>
      <c r="E1" t="s">
        <v>3</v>
      </c>
    </row>
    <row r="2" spans="1:24" x14ac:dyDescent="0.45">
      <c r="A2">
        <v>0</v>
      </c>
      <c r="B2">
        <v>0</v>
      </c>
      <c r="C2">
        <f>A2-B2</f>
        <v>0</v>
      </c>
      <c r="D2">
        <v>0</v>
      </c>
      <c r="E2">
        <v>0</v>
      </c>
    </row>
    <row r="3" spans="1:24" x14ac:dyDescent="0.45">
      <c r="A3">
        <v>5</v>
      </c>
      <c r="B3">
        <v>4.7850000000000001</v>
      </c>
      <c r="C3">
        <f t="shared" ref="C3:C8" si="0">A3-B3</f>
        <v>0.21499999999999986</v>
      </c>
      <c r="D3">
        <v>4.97</v>
      </c>
      <c r="E3">
        <f>A3-D3</f>
        <v>3.0000000000000249E-2</v>
      </c>
    </row>
    <row r="4" spans="1:24" x14ac:dyDescent="0.45">
      <c r="A4">
        <v>10</v>
      </c>
      <c r="B4">
        <v>9.8000000000000007</v>
      </c>
      <c r="C4">
        <f t="shared" si="0"/>
        <v>0.19999999999999929</v>
      </c>
      <c r="D4">
        <v>10.01</v>
      </c>
      <c r="E4">
        <f t="shared" ref="E4:E8" si="1">A4-D4</f>
        <v>-9.9999999999997868E-3</v>
      </c>
    </row>
    <row r="5" spans="1:24" x14ac:dyDescent="0.45">
      <c r="A5">
        <v>15</v>
      </c>
      <c r="B5">
        <v>14.76</v>
      </c>
      <c r="C5">
        <f t="shared" si="0"/>
        <v>0.24000000000000021</v>
      </c>
      <c r="D5">
        <v>15.106</v>
      </c>
      <c r="E5">
        <f t="shared" si="1"/>
        <v>-0.10599999999999987</v>
      </c>
    </row>
    <row r="16" spans="1:24" x14ac:dyDescent="0.45">
      <c r="W16" t="s">
        <v>9</v>
      </c>
      <c r="X16" t="s">
        <v>9</v>
      </c>
    </row>
    <row r="17" spans="23:24" x14ac:dyDescent="0.45">
      <c r="W17">
        <v>8.0000000000000002E-3</v>
      </c>
      <c r="X17" t="s">
        <v>11</v>
      </c>
    </row>
    <row r="18" spans="23:24" x14ac:dyDescent="0.45">
      <c r="W18">
        <v>1.6E-2</v>
      </c>
      <c r="X18">
        <v>0.3</v>
      </c>
    </row>
    <row r="19" spans="23:24" x14ac:dyDescent="0.45">
      <c r="W19">
        <v>2.1999999999999999E-2</v>
      </c>
      <c r="X19">
        <v>0.4</v>
      </c>
    </row>
    <row r="20" spans="23:24" x14ac:dyDescent="0.45">
      <c r="W20">
        <v>2.4E-2</v>
      </c>
      <c r="X20">
        <v>0.5</v>
      </c>
    </row>
    <row r="21" spans="23:24" x14ac:dyDescent="0.45">
      <c r="W21">
        <v>0.03</v>
      </c>
      <c r="X21">
        <v>0.6</v>
      </c>
    </row>
    <row r="22" spans="23:24" x14ac:dyDescent="0.45">
      <c r="W22">
        <v>4.2000000000000003E-2</v>
      </c>
      <c r="X22">
        <v>0.7</v>
      </c>
    </row>
    <row r="23" spans="23:24" x14ac:dyDescent="0.45">
      <c r="W23">
        <v>0.06</v>
      </c>
      <c r="X23">
        <v>0.8</v>
      </c>
    </row>
    <row r="24" spans="23:24" x14ac:dyDescent="0.45">
      <c r="W24">
        <v>0.1</v>
      </c>
      <c r="X24">
        <v>0.9</v>
      </c>
    </row>
    <row r="25" spans="23:24" x14ac:dyDescent="0.45">
      <c r="W25">
        <v>0.15</v>
      </c>
      <c r="X25">
        <v>1</v>
      </c>
    </row>
    <row r="26" spans="23:24" x14ac:dyDescent="0.45">
      <c r="W26">
        <v>0.18</v>
      </c>
      <c r="X26">
        <v>1.1000000000000001</v>
      </c>
    </row>
    <row r="27" spans="23:24" x14ac:dyDescent="0.45">
      <c r="W27">
        <v>0.20200000000000001</v>
      </c>
      <c r="X27">
        <v>1.2</v>
      </c>
    </row>
    <row r="28" spans="23:24" x14ac:dyDescent="0.45">
      <c r="W28">
        <v>0.214</v>
      </c>
      <c r="X28">
        <v>1.3</v>
      </c>
    </row>
    <row r="29" spans="23:24" x14ac:dyDescent="0.45">
      <c r="W29">
        <v>0.22500000000000001</v>
      </c>
      <c r="X29">
        <v>1.4</v>
      </c>
    </row>
    <row r="30" spans="23:24" x14ac:dyDescent="0.45">
      <c r="W30">
        <v>0.22</v>
      </c>
      <c r="X30">
        <v>1.5</v>
      </c>
    </row>
    <row r="31" spans="23:24" x14ac:dyDescent="0.45">
      <c r="W31">
        <v>0.19</v>
      </c>
      <c r="X31">
        <v>1.6</v>
      </c>
    </row>
    <row r="32" spans="23:24" x14ac:dyDescent="0.45">
      <c r="W32">
        <v>0.16500000000000001</v>
      </c>
      <c r="X32">
        <v>1.7</v>
      </c>
    </row>
    <row r="33" spans="12:24" x14ac:dyDescent="0.45">
      <c r="W33">
        <v>0.12</v>
      </c>
      <c r="X33">
        <v>1.8</v>
      </c>
    </row>
    <row r="34" spans="12:24" x14ac:dyDescent="0.45">
      <c r="W34">
        <v>3.5000000000000003E-2</v>
      </c>
      <c r="X34">
        <v>1.9</v>
      </c>
    </row>
    <row r="35" spans="12:24" x14ac:dyDescent="0.45">
      <c r="W35" t="s">
        <v>10</v>
      </c>
      <c r="X35">
        <v>2</v>
      </c>
    </row>
    <row r="36" spans="12:24" x14ac:dyDescent="0.45">
      <c r="X36" t="s">
        <v>12</v>
      </c>
    </row>
    <row r="41" spans="12:24" x14ac:dyDescent="0.45">
      <c r="L41">
        <v>0</v>
      </c>
      <c r="M41">
        <v>0</v>
      </c>
    </row>
    <row r="42" spans="12:24" x14ac:dyDescent="0.45">
      <c r="L42">
        <v>8.0000000000000002E-3</v>
      </c>
      <c r="M42" t="s">
        <v>11</v>
      </c>
    </row>
    <row r="43" spans="12:24" x14ac:dyDescent="0.45">
      <c r="L43">
        <v>1.6E-2</v>
      </c>
      <c r="M43">
        <v>0.3</v>
      </c>
    </row>
    <row r="44" spans="12:24" x14ac:dyDescent="0.45">
      <c r="L44">
        <v>2.1999999999999999E-2</v>
      </c>
      <c r="M44">
        <v>0.4</v>
      </c>
    </row>
    <row r="45" spans="12:24" x14ac:dyDescent="0.45">
      <c r="L45">
        <v>2.4E-2</v>
      </c>
      <c r="M45">
        <v>0.5</v>
      </c>
    </row>
    <row r="46" spans="12:24" x14ac:dyDescent="0.45">
      <c r="L46">
        <v>0.03</v>
      </c>
      <c r="M46">
        <v>0.6</v>
      </c>
    </row>
    <row r="47" spans="12:24" x14ac:dyDescent="0.45">
      <c r="L47">
        <v>4.2000000000000003E-2</v>
      </c>
      <c r="M47">
        <v>0.7</v>
      </c>
    </row>
    <row r="48" spans="12:24" x14ac:dyDescent="0.45">
      <c r="L48">
        <v>0.06</v>
      </c>
      <c r="M48">
        <v>0.8</v>
      </c>
    </row>
    <row r="49" spans="12:13" x14ac:dyDescent="0.45">
      <c r="L49">
        <v>0.1</v>
      </c>
      <c r="M49">
        <v>0.9</v>
      </c>
    </row>
    <row r="50" spans="12:13" x14ac:dyDescent="0.45">
      <c r="L50">
        <v>0.15</v>
      </c>
      <c r="M50">
        <v>1</v>
      </c>
    </row>
    <row r="51" spans="12:13" x14ac:dyDescent="0.45">
      <c r="L51">
        <v>0.18</v>
      </c>
      <c r="M51">
        <v>1.1000000000000001</v>
      </c>
    </row>
    <row r="52" spans="12:13" x14ac:dyDescent="0.45">
      <c r="L52">
        <v>0.20200000000000001</v>
      </c>
      <c r="M52">
        <v>1.2</v>
      </c>
    </row>
    <row r="53" spans="12:13" x14ac:dyDescent="0.45">
      <c r="L53">
        <v>0.214</v>
      </c>
      <c r="M53">
        <v>1.3</v>
      </c>
    </row>
    <row r="54" spans="12:13" x14ac:dyDescent="0.45">
      <c r="L54">
        <v>0.22500000000000001</v>
      </c>
      <c r="M54">
        <v>1.4</v>
      </c>
    </row>
    <row r="55" spans="12:13" x14ac:dyDescent="0.45">
      <c r="L55">
        <v>0.22</v>
      </c>
      <c r="M55">
        <v>1.5</v>
      </c>
    </row>
    <row r="56" spans="12:13" x14ac:dyDescent="0.45">
      <c r="L56">
        <v>0.19</v>
      </c>
      <c r="M56">
        <v>1.6</v>
      </c>
    </row>
    <row r="57" spans="12:13" x14ac:dyDescent="0.45">
      <c r="L57">
        <v>0.16500000000000001</v>
      </c>
      <c r="M57">
        <v>1.7</v>
      </c>
    </row>
    <row r="58" spans="12:13" x14ac:dyDescent="0.45">
      <c r="L58">
        <v>0.12</v>
      </c>
      <c r="M58">
        <v>1.8</v>
      </c>
    </row>
    <row r="59" spans="12:13" x14ac:dyDescent="0.45">
      <c r="L59">
        <v>3.5000000000000003E-2</v>
      </c>
      <c r="M59">
        <v>1.9</v>
      </c>
    </row>
    <row r="60" spans="12:13" x14ac:dyDescent="0.45">
      <c r="L60">
        <v>8.0000000000000002E-3</v>
      </c>
      <c r="M60">
        <v>2</v>
      </c>
    </row>
    <row r="61" spans="12:13" x14ac:dyDescent="0.45">
      <c r="L6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4BC6-4F0B-469C-9143-C0A2C4F13396}">
  <dimension ref="A1:H8"/>
  <sheetViews>
    <sheetView zoomScale="70" workbookViewId="0">
      <selection activeCell="F7" sqref="F7"/>
    </sheetView>
  </sheetViews>
  <sheetFormatPr defaultRowHeight="14.25" x14ac:dyDescent="0.45"/>
  <cols>
    <col min="2" max="2" width="18" bestFit="1" customWidth="1"/>
    <col min="5" max="5" width="9.06640625" customWidth="1"/>
    <col min="8" max="8" width="14.796875" bestFit="1" customWidth="1"/>
    <col min="9" max="9" width="7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3</v>
      </c>
      <c r="H1" t="s">
        <v>6</v>
      </c>
    </row>
    <row r="2" spans="1:8" x14ac:dyDescent="0.45">
      <c r="A2">
        <v>1</v>
      </c>
      <c r="B2">
        <f>A2*7</f>
        <v>7</v>
      </c>
      <c r="C2">
        <v>7.1</v>
      </c>
      <c r="D2">
        <f t="shared" ref="D2:D6" si="0">B2-C2</f>
        <v>-9.9999999999999645E-2</v>
      </c>
      <c r="E2" s="1">
        <f>D2/B2</f>
        <v>-1.4285714285714235E-2</v>
      </c>
      <c r="F2">
        <v>7.07</v>
      </c>
      <c r="G2">
        <f>F2-B2</f>
        <v>7.0000000000000284E-2</v>
      </c>
      <c r="H2" s="1">
        <f>G2/B2</f>
        <v>1.000000000000004E-2</v>
      </c>
    </row>
    <row r="3" spans="1:8" x14ac:dyDescent="0.45">
      <c r="A3">
        <v>1.5</v>
      </c>
      <c r="B3">
        <f t="shared" ref="B3:B6" si="1">A3*7</f>
        <v>10.5</v>
      </c>
      <c r="C3">
        <v>10.509</v>
      </c>
      <c r="D3">
        <f t="shared" si="0"/>
        <v>-9.0000000000003411E-3</v>
      </c>
      <c r="E3" s="1">
        <f t="shared" ref="E3:E6" si="2">D3/B3</f>
        <v>-8.5714285714288962E-4</v>
      </c>
      <c r="F3">
        <v>10.507999999999999</v>
      </c>
      <c r="G3">
        <f t="shared" ref="G3:G6" si="3">F3-B3</f>
        <v>7.9999999999991189E-3</v>
      </c>
      <c r="H3" s="1">
        <f t="shared" ref="H3:H6" si="4">G3/B3</f>
        <v>7.6190476190467801E-4</v>
      </c>
    </row>
    <row r="4" spans="1:8" x14ac:dyDescent="0.45">
      <c r="A4">
        <v>2</v>
      </c>
      <c r="B4">
        <f t="shared" si="1"/>
        <v>14</v>
      </c>
      <c r="C4">
        <v>13.846</v>
      </c>
      <c r="D4">
        <f t="shared" si="0"/>
        <v>0.15399999999999991</v>
      </c>
      <c r="E4" s="1">
        <f t="shared" si="2"/>
        <v>1.0999999999999994E-2</v>
      </c>
      <c r="F4">
        <v>14.012</v>
      </c>
      <c r="G4">
        <f t="shared" si="3"/>
        <v>1.2000000000000455E-2</v>
      </c>
      <c r="H4" s="1">
        <f t="shared" si="4"/>
        <v>8.5714285714288962E-4</v>
      </c>
    </row>
    <row r="5" spans="1:8" x14ac:dyDescent="0.45">
      <c r="A5">
        <v>2.5</v>
      </c>
      <c r="B5">
        <f t="shared" si="1"/>
        <v>17.5</v>
      </c>
      <c r="C5">
        <v>17.396000000000001</v>
      </c>
      <c r="D5">
        <f t="shared" si="0"/>
        <v>0.1039999999999992</v>
      </c>
      <c r="E5" s="1">
        <f t="shared" si="2"/>
        <v>5.942857142857097E-3</v>
      </c>
      <c r="F5">
        <v>17.516999999999999</v>
      </c>
      <c r="G5">
        <f t="shared" si="3"/>
        <v>1.699999999999946E-2</v>
      </c>
      <c r="H5" s="1">
        <f t="shared" si="4"/>
        <v>9.7142857142854054E-4</v>
      </c>
    </row>
    <row r="6" spans="1:8" x14ac:dyDescent="0.45">
      <c r="A6">
        <v>3</v>
      </c>
      <c r="B6">
        <f t="shared" si="1"/>
        <v>21</v>
      </c>
      <c r="C6">
        <v>20.661999999999999</v>
      </c>
      <c r="D6">
        <f t="shared" si="0"/>
        <v>0.33800000000000097</v>
      </c>
      <c r="E6" s="1">
        <f t="shared" si="2"/>
        <v>1.6095238095238142E-2</v>
      </c>
      <c r="F6">
        <v>21.021999999999998</v>
      </c>
      <c r="G6">
        <f t="shared" si="3"/>
        <v>2.1999999999998465E-2</v>
      </c>
      <c r="H6" s="1">
        <f t="shared" si="4"/>
        <v>1.0476190476189746E-3</v>
      </c>
    </row>
    <row r="8" spans="1:8" x14ac:dyDescent="0.45">
      <c r="A8" t="s">
        <v>5</v>
      </c>
      <c r="D8">
        <f>AVERAGE(D2:D6)</f>
        <v>9.7400000000000014E-2</v>
      </c>
      <c r="E8" s="2">
        <f>AVERAGE(E2:E6)</f>
        <v>3.5790476190476219E-3</v>
      </c>
      <c r="G8">
        <f>AVERAGE(G2:G6)</f>
        <v>2.5799999999999556E-2</v>
      </c>
      <c r="H8" s="2">
        <f>AVERAGE(H2:H6)</f>
        <v>2.7276190476190243E-3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9856-4B7B-4A32-813D-A6B1BCF82BA0}">
  <dimension ref="A1:H8"/>
  <sheetViews>
    <sheetView zoomScale="63" workbookViewId="0">
      <selection activeCell="F4" sqref="F4"/>
    </sheetView>
  </sheetViews>
  <sheetFormatPr defaultRowHeight="14.25" x14ac:dyDescent="0.45"/>
  <cols>
    <col min="2" max="2" width="18" bestFit="1" customWidth="1"/>
    <col min="8" max="8" width="14.796875" bestFit="1" customWidth="1"/>
    <col min="9" max="9" width="7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3</v>
      </c>
      <c r="H1" t="s">
        <v>6</v>
      </c>
    </row>
    <row r="2" spans="1:8" x14ac:dyDescent="0.45">
      <c r="A2">
        <v>1</v>
      </c>
      <c r="B2">
        <f t="shared" ref="B2:B5" si="0">A2*7/2</f>
        <v>3.5</v>
      </c>
      <c r="C2">
        <v>3.621</v>
      </c>
      <c r="D2">
        <f t="shared" ref="D2:D6" si="1">B2-C2</f>
        <v>-0.121</v>
      </c>
      <c r="E2" s="1">
        <f>D2/B2</f>
        <v>-3.4571428571428572E-2</v>
      </c>
      <c r="F2">
        <v>3.5339999999999998</v>
      </c>
      <c r="G2">
        <f>F2-B2</f>
        <v>3.3999999999999808E-2</v>
      </c>
      <c r="H2" s="1">
        <f>G2/B2</f>
        <v>9.7142857142856597E-3</v>
      </c>
    </row>
    <row r="3" spans="1:8" x14ac:dyDescent="0.45">
      <c r="A3">
        <v>1.5</v>
      </c>
      <c r="B3">
        <f t="shared" si="0"/>
        <v>5.25</v>
      </c>
      <c r="C3">
        <v>5.3609999999999998</v>
      </c>
      <c r="D3">
        <f t="shared" si="1"/>
        <v>-0.11099999999999977</v>
      </c>
      <c r="E3" s="1">
        <f t="shared" ref="E3:E6" si="2">D3/B3</f>
        <v>-2.1142857142857099E-2</v>
      </c>
      <c r="F3">
        <v>5.29</v>
      </c>
      <c r="G3">
        <f t="shared" ref="G3:G6" si="3">F3-B3</f>
        <v>4.0000000000000036E-2</v>
      </c>
      <c r="H3" s="1">
        <f t="shared" ref="H3:H6" si="4">G3/B3</f>
        <v>7.619047619047626E-3</v>
      </c>
    </row>
    <row r="4" spans="1:8" x14ac:dyDescent="0.45">
      <c r="A4">
        <v>2</v>
      </c>
      <c r="B4">
        <f t="shared" si="0"/>
        <v>7</v>
      </c>
      <c r="C4">
        <v>7.0650000000000004</v>
      </c>
      <c r="D4">
        <f t="shared" si="1"/>
        <v>-6.5000000000000391E-2</v>
      </c>
      <c r="E4" s="1">
        <f t="shared" si="2"/>
        <v>-9.2857142857143415E-3</v>
      </c>
      <c r="F4">
        <v>7.0990000000000002</v>
      </c>
      <c r="G4">
        <f t="shared" si="3"/>
        <v>9.9000000000000199E-2</v>
      </c>
      <c r="H4" s="1">
        <f t="shared" si="4"/>
        <v>1.4142857142857171E-2</v>
      </c>
    </row>
    <row r="5" spans="1:8" x14ac:dyDescent="0.45">
      <c r="A5">
        <v>2.5</v>
      </c>
      <c r="B5">
        <f t="shared" si="0"/>
        <v>8.75</v>
      </c>
      <c r="C5">
        <v>8.7690000000000001</v>
      </c>
      <c r="D5">
        <f t="shared" si="1"/>
        <v>-1.9000000000000128E-2</v>
      </c>
      <c r="E5" s="1">
        <f t="shared" si="2"/>
        <v>-2.1714285714285859E-3</v>
      </c>
      <c r="F5">
        <v>8.7560000000000002</v>
      </c>
      <c r="G5">
        <f t="shared" si="3"/>
        <v>6.0000000000002274E-3</v>
      </c>
      <c r="H5" s="1">
        <f t="shared" si="4"/>
        <v>6.8571428571431172E-4</v>
      </c>
    </row>
    <row r="6" spans="1:8" x14ac:dyDescent="0.45">
      <c r="A6">
        <v>3</v>
      </c>
      <c r="B6">
        <f>A6*7/2</f>
        <v>10.5</v>
      </c>
      <c r="C6">
        <v>10.36</v>
      </c>
      <c r="D6">
        <f t="shared" si="1"/>
        <v>0.14000000000000057</v>
      </c>
      <c r="E6" s="1">
        <f t="shared" si="2"/>
        <v>1.3333333333333388E-2</v>
      </c>
      <c r="F6">
        <v>10.56</v>
      </c>
      <c r="G6">
        <f t="shared" si="3"/>
        <v>6.0000000000000497E-2</v>
      </c>
      <c r="H6" s="1">
        <f t="shared" si="4"/>
        <v>5.714285714285762E-3</v>
      </c>
    </row>
    <row r="8" spans="1:8" x14ac:dyDescent="0.45">
      <c r="A8" t="s">
        <v>5</v>
      </c>
      <c r="D8">
        <f>AVERAGE(D2:D6)</f>
        <v>-3.519999999999994E-2</v>
      </c>
      <c r="E8" s="2">
        <f>AVERAGE(E2:E6)</f>
        <v>-1.0767619047619043E-2</v>
      </c>
      <c r="G8">
        <f>AVERAGE(G2:G6)</f>
        <v>4.7800000000000155E-2</v>
      </c>
      <c r="H8" s="2">
        <f>AVERAGE(H2:H6)</f>
        <v>7.5752380952381054E-3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E294-58FA-4837-949C-A1A975D3CC3B}">
  <dimension ref="A1:H8"/>
  <sheetViews>
    <sheetView zoomScale="84" workbookViewId="0">
      <selection activeCell="F5" sqref="F5"/>
    </sheetView>
  </sheetViews>
  <sheetFormatPr defaultRowHeight="14.25" x14ac:dyDescent="0.45"/>
  <cols>
    <col min="2" max="2" width="18" bestFit="1" customWidth="1"/>
    <col min="8" max="8" width="14.796875" bestFit="1" customWidth="1"/>
    <col min="9" max="9" width="7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3</v>
      </c>
      <c r="H1" t="s">
        <v>6</v>
      </c>
    </row>
    <row r="2" spans="1:8" x14ac:dyDescent="0.45">
      <c r="A2">
        <v>1</v>
      </c>
      <c r="B2">
        <f>A2*10</f>
        <v>10</v>
      </c>
      <c r="C2">
        <v>10.29</v>
      </c>
      <c r="D2">
        <f t="shared" ref="D2:D6" si="0">B2-C2</f>
        <v>-0.28999999999999915</v>
      </c>
      <c r="E2" s="1">
        <f>D2/B2</f>
        <v>-2.8999999999999915E-2</v>
      </c>
      <c r="F2">
        <v>9.99</v>
      </c>
      <c r="G2">
        <f>F2-B2</f>
        <v>-9.9999999999997868E-3</v>
      </c>
      <c r="H2" s="1">
        <f>G2/B2</f>
        <v>-9.9999999999997877E-4</v>
      </c>
    </row>
    <row r="3" spans="1:8" x14ac:dyDescent="0.45">
      <c r="A3">
        <v>1.5</v>
      </c>
      <c r="B3">
        <f t="shared" ref="B3:B6" si="1">A3*10</f>
        <v>15</v>
      </c>
      <c r="C3">
        <v>14.98</v>
      </c>
      <c r="D3">
        <f t="shared" si="0"/>
        <v>1.9999999999999574E-2</v>
      </c>
      <c r="E3" s="1">
        <f t="shared" ref="E3:E6" si="2">D3/B3</f>
        <v>1.3333333333333049E-3</v>
      </c>
      <c r="F3">
        <v>15.01</v>
      </c>
      <c r="G3">
        <f t="shared" ref="G3:G6" si="3">F3-B3</f>
        <v>9.9999999999997868E-3</v>
      </c>
      <c r="H3" s="1">
        <f t="shared" ref="H3:H6" si="4">G3/B3</f>
        <v>6.6666666666665244E-4</v>
      </c>
    </row>
    <row r="4" spans="1:8" x14ac:dyDescent="0.45">
      <c r="A4">
        <v>2</v>
      </c>
      <c r="B4">
        <f t="shared" si="1"/>
        <v>20</v>
      </c>
      <c r="C4">
        <v>20.09</v>
      </c>
      <c r="D4">
        <f t="shared" si="0"/>
        <v>-8.9999999999999858E-2</v>
      </c>
      <c r="E4" s="1">
        <f t="shared" si="2"/>
        <v>-4.4999999999999927E-3</v>
      </c>
      <c r="F4">
        <v>20.02</v>
      </c>
      <c r="G4">
        <f t="shared" si="3"/>
        <v>1.9999999999999574E-2</v>
      </c>
      <c r="H4" s="1">
        <f t="shared" si="4"/>
        <v>9.9999999999997877E-4</v>
      </c>
    </row>
    <row r="5" spans="1:8" x14ac:dyDescent="0.45">
      <c r="A5">
        <v>2.5</v>
      </c>
      <c r="B5">
        <f t="shared" si="1"/>
        <v>25</v>
      </c>
      <c r="C5">
        <v>24.85</v>
      </c>
      <c r="D5">
        <f t="shared" si="0"/>
        <v>0.14999999999999858</v>
      </c>
      <c r="E5" s="1">
        <f t="shared" si="2"/>
        <v>5.9999999999999429E-3</v>
      </c>
      <c r="F5">
        <v>24.98</v>
      </c>
      <c r="G5">
        <f t="shared" si="3"/>
        <v>-1.9999999999999574E-2</v>
      </c>
      <c r="H5" s="1">
        <f t="shared" si="4"/>
        <v>-7.9999999999998291E-4</v>
      </c>
    </row>
    <row r="6" spans="1:8" x14ac:dyDescent="0.45">
      <c r="A6">
        <v>3</v>
      </c>
      <c r="B6">
        <f t="shared" si="1"/>
        <v>30</v>
      </c>
      <c r="C6">
        <v>30.1</v>
      </c>
      <c r="D6">
        <f t="shared" si="0"/>
        <v>-0.10000000000000142</v>
      </c>
      <c r="E6" s="1">
        <f t="shared" si="2"/>
        <v>-3.3333333333333808E-3</v>
      </c>
      <c r="F6">
        <v>29.93</v>
      </c>
      <c r="G6">
        <f t="shared" si="3"/>
        <v>-7.0000000000000284E-2</v>
      </c>
      <c r="H6" s="1">
        <f t="shared" si="4"/>
        <v>-2.3333333333333426E-3</v>
      </c>
    </row>
    <row r="8" spans="1:8" x14ac:dyDescent="0.45">
      <c r="A8" t="s">
        <v>5</v>
      </c>
      <c r="D8">
        <f>AVERAGE(D2:D6)</f>
        <v>-6.2000000000000458E-2</v>
      </c>
      <c r="E8" s="2">
        <f>AVERAGE(E2:E6)</f>
        <v>-5.9000000000000077E-3</v>
      </c>
      <c r="G8">
        <f>AVERAGE(G2:G6)</f>
        <v>-1.4000000000000058E-2</v>
      </c>
      <c r="H8" s="2">
        <f>AVERAGE(H2:H6)</f>
        <v>-4.9333333333333456E-4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Battery Voltage</vt:lpstr>
      <vt:lpstr>Motor Current</vt:lpstr>
      <vt:lpstr>Solar Current</vt:lpstr>
      <vt:lpstr>Auxiliary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Fitzgerald-Zimmer, Max</dc:creator>
  <cp:lastModifiedBy>Fitzgerald-Zimmer, Max</cp:lastModifiedBy>
  <dcterms:created xsi:type="dcterms:W3CDTF">2025-03-06T08:40:48Z</dcterms:created>
  <dcterms:modified xsi:type="dcterms:W3CDTF">2025-03-11T09:42:58Z</dcterms:modified>
</cp:coreProperties>
</file>